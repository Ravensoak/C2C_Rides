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03e65629f95fa6/Documents/01 Personal/01 Web Development/01 Sites/11 C2C Rides/C2C_Rides/files/"/>
    </mc:Choice>
  </mc:AlternateContent>
  <xr:revisionPtr revIDLastSave="382" documentId="8_{D1BDAB1D-9912-46FA-B4D8-7D362212302F}" xr6:coauthVersionLast="47" xr6:coauthVersionMax="47" xr10:uidLastSave="{CE4C0023-047F-4052-BFDC-416210F29BFA}"/>
  <bookViews>
    <workbookView xWindow="-108" yWindow="-108" windowWidth="30936" windowHeight="16776" activeTab="3" xr2:uid="{377EF423-DCCF-40A8-848B-6E396FEE9699}"/>
  </bookViews>
  <sheets>
    <sheet name="Hotel 1 - Menu Info" sheetId="5" r:id="rId1"/>
    <sheet name="Hotel 2 - Menu Info" sheetId="6" r:id="rId2"/>
    <sheet name="Hotel 3 - Menu Info" sheetId="7" r:id="rId3"/>
    <sheet name="Hotel 4 - Menu Info" sheetId="8" r:id="rId4"/>
  </sheets>
  <definedNames>
    <definedName name="_xlnm.Print_Area" localSheetId="0">'Hotel 1 - Menu Info'!$B$1:$H$24</definedName>
    <definedName name="_xlnm.Print_Area" localSheetId="1">'Hotel 2 - Menu Info'!$B$1:$H$24</definedName>
    <definedName name="_xlnm.Print_Area" localSheetId="2">'Hotel 3 - Menu Info'!$B$1:$I$24</definedName>
    <definedName name="_xlnm.Print_Area" localSheetId="3">'Hotel 4 - Menu Info'!$B$1:$I$24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5" l="1" a="1"/>
  <c r="N6" i="5" s="1"/>
  <c r="O6" i="8" a="1"/>
  <c r="O6" i="8" s="1"/>
  <c r="M6" i="8" a="1"/>
  <c r="M6" i="8" s="1"/>
  <c r="K6" i="8" a="1"/>
  <c r="K6" i="8" s="1"/>
  <c r="O6" i="7" a="1"/>
  <c r="O6" i="7" s="1"/>
  <c r="M6" i="7" a="1"/>
  <c r="M6" i="7" s="1"/>
  <c r="K6" i="7" a="1"/>
  <c r="K6" i="7" s="1"/>
  <c r="N6" i="6" a="1"/>
  <c r="N6" i="6" s="1"/>
  <c r="L6" i="6" a="1"/>
  <c r="L6" i="6" s="1"/>
  <c r="J6" i="6" a="1"/>
  <c r="J6" i="6" s="1"/>
  <c r="L6" i="5" a="1"/>
  <c r="L6" i="5" s="1"/>
  <c r="J6" i="5" a="1"/>
  <c r="J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<sst xmlns="http://schemas.openxmlformats.org/spreadsheetml/2006/main" count="470" uniqueCount="125">
  <si>
    <t>David Olney</t>
  </si>
  <si>
    <t>Creamy Garlic Mushrooms, Sourdough bread £8.50</t>
  </si>
  <si>
    <t>Cheese &amp; Potato Pie with chips, sticky red cabbage, gravy - £17.50</t>
  </si>
  <si>
    <t>No dessert</t>
  </si>
  <si>
    <t>Beverly Smithers</t>
  </si>
  <si>
    <t>Classic Prawn Cocktail, Marie Rose Sauce, Rye Bread £11</t>
  </si>
  <si>
    <t>Chicken Pie with mash, sticky red cabbage, gravy - £17.50</t>
  </si>
  <si>
    <t>Ryan Lovatt</t>
  </si>
  <si>
    <t>Homemade beef lasagne, Garlic bread - £18</t>
  </si>
  <si>
    <t>Claire Ferrer</t>
  </si>
  <si>
    <t>No starter</t>
  </si>
  <si>
    <t>Roy clarke</t>
  </si>
  <si>
    <t>No main</t>
  </si>
  <si>
    <t>Theresa Jennings</t>
  </si>
  <si>
    <t>Steak &amp; Ale Pie with chips, sticky red cabbage, gravy - £17.50</t>
  </si>
  <si>
    <t>Martyn Leighton</t>
  </si>
  <si>
    <t>Laurie Peach</t>
  </si>
  <si>
    <t>Steak &amp; Ale Pie with mash, sticky red cabbage, gravy - £17.50</t>
  </si>
  <si>
    <t>Chocolate Brownie, with Ice Cream - £8.50</t>
  </si>
  <si>
    <t>Janice Clowes</t>
  </si>
  <si>
    <t>Hummus, flatbread, and olives £7.50</t>
  </si>
  <si>
    <t>Anthony Heaney</t>
  </si>
  <si>
    <t>Steak Rump served with tomato, mushroom, chips, garlic butter sauce - £24</t>
  </si>
  <si>
    <t>Sticky Toffee Pudding with Custard - £9</t>
  </si>
  <si>
    <t>Ian Ferrer</t>
  </si>
  <si>
    <t>Steak Rump served with tomato, mushroom, chips, peppercorn sauce - £24</t>
  </si>
  <si>
    <t>Sweet Potato cake, caramel sauce - £8.50</t>
  </si>
  <si>
    <t>Christine Bell</t>
  </si>
  <si>
    <t>Sweet potato roulade with a tomato &amp; herb sauce, and seasonal veg - £16.50</t>
  </si>
  <si>
    <t>Main</t>
  </si>
  <si>
    <t>Starter</t>
  </si>
  <si>
    <t>Dessert</t>
  </si>
  <si>
    <t xml:space="preserve">Hotel: The Manor </t>
  </si>
  <si>
    <t>Name</t>
  </si>
  <si>
    <t>Dietary Requirements</t>
  </si>
  <si>
    <t>Count</t>
  </si>
  <si>
    <t xml:space="preserve">Dessert </t>
  </si>
  <si>
    <t>Meal Selections:</t>
  </si>
  <si>
    <t>Meal Counts:</t>
  </si>
  <si>
    <t>No</t>
  </si>
  <si>
    <t>Yes</t>
  </si>
  <si>
    <t>Gluten free but it’s a preference not an allergy</t>
  </si>
  <si>
    <t>Jenny</t>
  </si>
  <si>
    <t>Special Dietry</t>
  </si>
  <si>
    <t>Meal preparation comments</t>
  </si>
  <si>
    <t>Beer battered Cod &amp; Chips served with chips, mushy peas, lemon wedge &amp; tartare sauce</t>
  </si>
  <si>
    <t>Sticky Toffee Pudding with Custard</t>
  </si>
  <si>
    <t>Garden peas instead of mushy peas please</t>
  </si>
  <si>
    <t>Chef’s Soup of the Day</t>
  </si>
  <si>
    <t>Tadka Dal (Red Lentil Curry) A flavorful and hearty dish, made with red lentils, simmered in mild spices, tempered with onions, garlic and cumin. Served with saffron flavored basmati rice &amp; Poppadum</t>
  </si>
  <si>
    <t>Gf bread with soup please</t>
  </si>
  <si>
    <t>Lightly fried whitebait served with burnt lemon &amp; tartar dip</t>
  </si>
  <si>
    <t>Seafood Tagliatelle simmered in Bisque with prawns, squids &amp; mussels served with lemon, Urfa Chilli, chives &amp; Parmesan</t>
  </si>
  <si>
    <t>Cheesecake with Mix Berries Compote</t>
  </si>
  <si>
    <t>Butter chicken in a rich &amp; silky makhani sauce served with saffron flavored basmati rice &amp; poppadum</t>
  </si>
  <si>
    <t>Please no mushy peas. If garden peas are available I’ll have those.</t>
  </si>
  <si>
    <t>Side dishes / steak sauce</t>
  </si>
  <si>
    <t>Creamy Garlic Mushrooms (V) - Crusty bread &amp; butter - £7.95</t>
  </si>
  <si>
    <t>Light Bites: Peppered Steak Loaded Fries - With slow cooked steak in a creamy peppercorn sauce - £12.95</t>
  </si>
  <si>
    <t>Banoffee Belgian Waffle - Belgian Wafle topped with bananas, signature toffee sauce &amp; honeycomb ice cream - £7.95</t>
  </si>
  <si>
    <t>Classic Dishes: Beef Lasagne - Dressed leaves, chips &amp; garlic bread - £14.95</t>
  </si>
  <si>
    <t>Lemon Posset - Creamy Lemon dessert with shortbread biscuit and berries - £7.95</t>
  </si>
  <si>
    <t>Special Dishes: Pan Fried Salmon - With tomatoes, garlic, chilli &amp; coriander - £19.95</t>
  </si>
  <si>
    <t>Seasonal Side Salad (VG) - £3.95</t>
  </si>
  <si>
    <t>Thai Bass Fishcakes - With sweet chilli &amp; coriander salad - £8.95</t>
  </si>
  <si>
    <t>Classic Dishes: Nanhoron Tikka Curry - Chicken, Served with rice, naan, mango chutney - £15.95</t>
  </si>
  <si>
    <t>Classic Dishes: Steak &amp; Local Ale Pie - With puff pastry top &amp; served with peas and chips - £15.95</t>
  </si>
  <si>
    <t>Classic Dishes: House Burger - Double beef, cheese, pickles, lettuce, burger sauce, coleslaw, hand-cut chips - £14.95</t>
  </si>
  <si>
    <t>Special Dishes: Chicken Supreme - stuffed with bacon &amp; cheese, wrapped in parma ham served on a bed of creamed leeks - £18.95</t>
  </si>
  <si>
    <t>Eton Mess - Crushed meringue, mixed fruit &amp; fresh cream - £7.95</t>
  </si>
  <si>
    <t>Shredded Duck Bon Bons - Hoisin mayo &amp; sticky dressing - £8.95</t>
  </si>
  <si>
    <t>Special Dishes: Crispy 1/2 Roast Duck - With orange sauce - £21.95</t>
  </si>
  <si>
    <t>Potato Skins (V) – With cheese, garlic sauce and crispy onions - £7.95</t>
  </si>
  <si>
    <t>Steak &amp; Ale Pie - With chips and vegetables - £18.95</t>
  </si>
  <si>
    <t>Chicken Supreme with Chasseur Sauce - With mashed potato and vegetables - £18.95</t>
  </si>
  <si>
    <t>Tiramisu - Coffee, sponge and cream dessert - £6.95</t>
  </si>
  <si>
    <t>Soup of the Day (V) – With bread and butter - £6.95</t>
  </si>
  <si>
    <t>Thai Green Vegetable Curry (V) - With steamed rice and flatbread - £15.95</t>
  </si>
  <si>
    <t>New Potatoes - £4.50, Tenderstem Brocoli &amp; honeyed carrots - £3.50</t>
  </si>
  <si>
    <t>Gf bread with the soup please</t>
  </si>
  <si>
    <t>Pheasant &amp; Mushroom Pate - With toasted sourdough - £8.95</t>
  </si>
  <si>
    <t>Cod &amp; Lemon Fishcakes - With pea and bacon salad - £18.95</t>
  </si>
  <si>
    <t>Tenderstem Brocoli &amp; honeyed carrots - £3.50</t>
  </si>
  <si>
    <t>Coconut &amp; Vanilla Panna Cotta - With pineapple salsa - £7.95</t>
  </si>
  <si>
    <t>Chicken Caesar Croquettes - With salad and Parmesan - £7.95</t>
  </si>
  <si>
    <t>Lamb Hot Pot Pie &amp; Mint Gravy - With mashed potato and vegetables - £18.95</t>
  </si>
  <si>
    <t>Rhubarb &amp; Stem Ginger Crumble (V) - With custard - £7.95</t>
  </si>
  <si>
    <t>Lamb Hot Pot Pie &amp; Mint Gravy - With chips and vegetables - £18.95</t>
  </si>
  <si>
    <t>Rhubarb &amp; Stem Ginger Crumble (V) - With vanilla ice cream - £7.95</t>
  </si>
  <si>
    <t>Steak &amp; Ale Pie - With mashed potato and vegetables - £18.95</t>
  </si>
  <si>
    <t>Onion Rings - £4.50</t>
  </si>
  <si>
    <t>Jacket Potato - £4.50</t>
  </si>
  <si>
    <t>Scampi &amp; Chips - With mushy peas and tartare sauce - £17.95</t>
  </si>
  <si>
    <t>Spicy Meatballs – With a roast tomato sauce, Parmesan and rocket - £8.95</t>
  </si>
  <si>
    <t>The Bull’s Buffalo Chicken Burger - With smoked cheese, ranch slaw and fries - £17.95</t>
  </si>
  <si>
    <t>House Slaw - £3.50</t>
  </si>
  <si>
    <t>Penderyn Whisky &amp; Chocolate Basque Cheesecake - With Chantilly cream - £7.95</t>
  </si>
  <si>
    <t>Oven-Roasted Pheasant &amp; Black Pudding Bon Bon - With potato fondant, vegetables and whisky sauce - £18.95</t>
  </si>
  <si>
    <t>Side Salad - £3.50</t>
  </si>
  <si>
    <t>Cod &amp; Lemon Fishcake - With parsley sauce - £8.95</t>
  </si>
  <si>
    <t xml:space="preserve">Hotel: The Bull </t>
  </si>
  <si>
    <t xml:space="preserve">Hotel: Nanhoron </t>
  </si>
  <si>
    <t>Hotel: The Lion</t>
  </si>
  <si>
    <t>Jane Olney</t>
  </si>
  <si>
    <t>Kevin Marriott</t>
  </si>
  <si>
    <t>Beer battered cod, chips, peas - £18.50</t>
  </si>
  <si>
    <t>Heather Marriott</t>
  </si>
  <si>
    <t>Paul Nathan</t>
  </si>
  <si>
    <t>vegetarian</t>
  </si>
  <si>
    <t>Crumble of the week, with custard and pouring cream - £10.50</t>
  </si>
  <si>
    <t>No Garlic please</t>
  </si>
  <si>
    <t>Classic Dishes: Hunters Chicken Burger - Crispy chicken, bacon, cheese &amp; BBQ sauce with coleslaw, hand cut chips - £14.95</t>
  </si>
  <si>
    <t>Special Dishes: Pan Roasted Wild Local Seabass - white wine &amp; mussels sauce - £21.95</t>
  </si>
  <si>
    <t>Classic Dishes: Vegetable Lasagne (V) - Dressed leaves, chips &amp; garlic bread - £14.95</t>
  </si>
  <si>
    <t>Double Chocolate Brownie - Warm Brownie served with signature chocolate sauce &amp; vanilla ice cream - £7.95</t>
  </si>
  <si>
    <t>vegetarian desert please, these are not labelled</t>
  </si>
  <si>
    <t>Cumberland Sausage &amp; Mash - With vegetables and gravy - £17.95</t>
  </si>
  <si>
    <t>Cheese Board - With biscuits, fruit and chutney - £12.95</t>
  </si>
  <si>
    <t>Beetroot Hummus (VG) - With warm flatbread - £7.95</t>
  </si>
  <si>
    <t>Instead of mushy peas can I have salad</t>
  </si>
  <si>
    <t>Leek, Mushroom &amp; Lentil Shepherds Pie (VG) - With mashed potato and vegetables - £16.95</t>
  </si>
  <si>
    <t>Carole Griffiths</t>
  </si>
  <si>
    <t>Ham &amp; Leek Pie with mash, sticky red cabbage, gravy - £17.50</t>
  </si>
  <si>
    <t>David Griffiths</t>
  </si>
  <si>
    <t>Classic Cheese &amp; Bacon Burger - With burger sauce, salad, coleslaw and fries - £17.95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</si>
</sst>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rgb="FFD9D9D9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top" wrapText="1"/>
    </xf>
  </cellXfs>
  <cellStyles count="1">
    <cellStyle name="Normal" xfId="0" builtinId="0"/>
  </cellStyles>
  <dxfs count="50"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theme="0" tint="-0.14996795556505021"/>
        </top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theme="0" tint="-0.14996795556505021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rgb="FF000000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rgb="FF000000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5DD8C-8F3E-4BEC-A03C-C59C0B228BFD}" name="tblHotel13" displayName="tblHotel13" ref="B5:H24" totalsRowShown="0" headerRowDxfId="36" dataDxfId="34" headerRowBorderDxfId="35" tableBorderDxfId="33" totalsRowBorderDxfId="32">
  <autoFilter ref="B5:H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C92B494-EA13-4F74-8319-EBAE3BE04F45}" name="Name" dataDxfId="31"/>
    <tableColumn id="6" xr3:uid="{9B701A91-19E7-4848-B56A-34A87B459979}" name="Special Dietry" dataDxfId="30"/>
    <tableColumn id="2" xr3:uid="{6D4EFF28-A45C-451C-B654-FA02BA4A9C8C}" name="Dietary Requirements" dataDxfId="29"/>
    <tableColumn id="3" xr3:uid="{15CFB543-AC2D-4314-9767-3B81465700E3}" name="Starter" dataDxfId="28"/>
    <tableColumn id="4" xr3:uid="{013D16B1-5ADC-40B7-BE1E-1571006023A7}" name="Main" dataDxfId="27"/>
    <tableColumn id="5" xr3:uid="{47CF3618-1C78-4C3D-A65A-A414EECFA4C6}" name="Dessert" dataDxfId="26"/>
    <tableColumn id="7" xr3:uid="{E6C72533-73F5-43F8-B0CD-008DE01142AB}" name="Meal preparation comments" dataDxfId="25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745C7-633F-4D36-9314-308A644252A9}" name="tblHotel134" displayName="tblHotel134" ref="B5:H24" totalsRowShown="0" headerRowDxfId="24" dataDxfId="22" headerRowBorderDxfId="23" tableBorderDxfId="21" totalsRowBorderDxfId="20">
  <autoFilter ref="B5:H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5B23A81-8537-439C-92B6-0B5779C8DF6A}" name="Name" dataDxfId="19"/>
    <tableColumn id="6" xr3:uid="{03AC1E81-4707-45B6-B2BF-1066B19ACDF8}" name="Special Dietry" dataDxfId="18"/>
    <tableColumn id="2" xr3:uid="{1B5B102A-80ED-4B8D-BE1F-8E0BB65E53ED}" name="Dietary Requirements" dataDxfId="17"/>
    <tableColumn id="3" xr3:uid="{1AA91233-FC32-4D76-9572-95850514AD4B}" name="Starter" dataDxfId="16"/>
    <tableColumn id="4" xr3:uid="{EF744B57-EB73-45FE-B267-F484F45B84E9}" name="Main" dataDxfId="15"/>
    <tableColumn id="5" xr3:uid="{0C2C717A-4D81-48D0-831C-E992206553F1}" name="Dessert" dataDxfId="14"/>
    <tableColumn id="7" xr3:uid="{4B5E53FF-F7B4-44F2-9E2E-AC4A8095BDFE}" name="Meal preparation comments" dataDxfId="13"/>
  </tableColumns>
  <tableStyleInfo name="TableStyleMedium1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7A2A2-BB86-4BEB-AC00-2AE478EA77AC}" name="tblHotel1345" displayName="tblHotel1345" ref="B5:I24" totalsRowShown="0" headerRowDxfId="12" dataDxfId="10" headerRowBorderDxfId="11" tableBorderDxfId="9" totalsRowBorderDxfId="8">
  <autoFilter ref="B5:I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D6DF8E8-5F13-493F-966A-EE048DF204DA}" name="Name" dataDxfId="7"/>
    <tableColumn id="6" xr3:uid="{CD31701D-787B-40B6-A3AC-06283F21D5D1}" name="Special Dietry" dataDxfId="6"/>
    <tableColumn id="2" xr3:uid="{6B466A34-5276-432A-A354-229ECBDC5F79}" name="Dietary Requirements" dataDxfId="5"/>
    <tableColumn id="3" xr3:uid="{0D215AE5-9BB5-4170-BE58-0731DF8AA5AD}" name="Starter" dataDxfId="4"/>
    <tableColumn id="4" xr3:uid="{E9B4E8C3-8ED7-4E70-B344-F41FE1183D6E}" name="Main" dataDxfId="3"/>
    <tableColumn id="8" xr3:uid="{061D587E-3BD7-4313-AC94-8D39339D2BDA}" name="Side dishes / steak sauce" dataDxfId="2"/>
    <tableColumn id="5" xr3:uid="{AA588DA8-6E33-4E29-BC42-468EEC3EC734}" name="Dessert" dataDxfId="1"/>
    <tableColumn id="7" xr3:uid="{A154A397-195F-4C28-9DFA-BC7735B077AA}" name="Meal preparation comments" dataDxfId="0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8C68DD-EC88-4B55-B847-28BD02EF2F85}" name="tblHotel13456" displayName="tblHotel13456" ref="B5:I24" totalsRowShown="0" headerRowDxfId="49" dataDxfId="47" headerRowBorderDxfId="48" tableBorderDxfId="46" totalsRowBorderDxfId="45">
  <autoFilter ref="B5:I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701036E-A63F-4B9D-A97A-92DE794C92BE}" name="Name" dataDxfId="44"/>
    <tableColumn id="6" xr3:uid="{23AE8140-BC17-42BB-A45F-056750FF7CA0}" name="Special Dietry" dataDxfId="43"/>
    <tableColumn id="2" xr3:uid="{B13D55E2-E4D7-4532-B0A8-6EDAE6C17216}" name="Dietary Requirements" dataDxfId="42"/>
    <tableColumn id="3" xr3:uid="{9E046FD6-3D86-4701-8393-0BB732B6D664}" name="Starter" dataDxfId="41"/>
    <tableColumn id="4" xr3:uid="{00D04535-5BE5-4D3D-A9E2-5556A7545B1C}" name="Main" dataDxfId="40"/>
    <tableColumn id="8" xr3:uid="{51F31383-DCF3-493D-8997-69FA6F6EA44D}" name="Side dishes / steak sauce" dataDxfId="39"/>
    <tableColumn id="5" xr3:uid="{FB576E1F-59CC-4680-A437-5A52CEB90C07}" name="Dessert" dataDxfId="38"/>
    <tableColumn id="7" xr3:uid="{4FF16550-030B-4358-AEF8-58E5137FA553}" name="Meal preparation comments" dataDxfId="37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3EC9-DCB1-4B11-A224-FE491FDA9B83}">
  <sheetPr>
    <pageSetUpPr fitToPage="1"/>
  </sheetPr>
  <dimension ref="B1:P40"/>
  <sheetViews>
    <sheetView showGridLines="0" workbookViewId="0">
      <selection activeCell="B1" sqref="B1:H24"/>
    </sheetView>
  </sheetViews>
  <sheetFormatPr defaultColWidth="8.77734375" defaultRowHeight="14.4" x14ac:dyDescent="0.3"/>
  <cols>
    <col min="1" max="1" width="3.77734375" style="1" customWidth="1"/>
    <col min="2" max="2" width="22.44140625" style="1" customWidth="1"/>
    <col min="3" max="3" width="9.88671875" style="1" customWidth="1"/>
    <col min="4" max="4" width="20.44140625" style="1" customWidth="1"/>
    <col min="5" max="5" width="46.77734375" style="1" customWidth="1"/>
    <col min="6" max="6" width="63.33203125" style="1" customWidth="1"/>
    <col min="7" max="7" width="41.21875" style="1" customWidth="1"/>
    <col min="8" max="8" width="20.33203125" style="1" customWidth="1"/>
    <col min="9" max="9" width="6.5546875" style="1" customWidth="1"/>
    <col min="10" max="10" width="42.6640625" style="1" customWidth="1"/>
    <col min="11" max="11" width="7" style="1" customWidth="1"/>
    <col min="12" max="12" width="63.109375" style="1" customWidth="1"/>
    <col min="13" max="13" width="6.88671875" style="1" customWidth="1"/>
    <col min="14" max="14" width="45.109375" style="1" customWidth="1"/>
    <col min="15" max="15" width="7.77734375" style="1" customWidth="1"/>
    <col min="16" max="16384" width="8.77734375" style="1"/>
  </cols>
  <sheetData>
    <row r="1" spans="2:15" ht="25.8" x14ac:dyDescent="0.5">
      <c r="B1" s="3" t="s">
        <v>32</v>
      </c>
      <c r="C1" s="3"/>
    </row>
    <row r="3" spans="2:15" ht="18" x14ac:dyDescent="0.35">
      <c r="B3" s="4" t="s">
        <v>37</v>
      </c>
      <c r="C3" s="4"/>
      <c r="J3" s="4" t="s">
        <v>38</v>
      </c>
      <c r="K3" s="4"/>
    </row>
    <row r="5" spans="2:15" ht="35.4" customHeight="1" x14ac:dyDescent="0.3">
      <c r="B5" s="11" t="s">
        <v>33</v>
      </c>
      <c r="C5" s="12" t="s">
        <v>43</v>
      </c>
      <c r="D5" s="12" t="s">
        <v>34</v>
      </c>
      <c r="E5" s="12" t="s">
        <v>30</v>
      </c>
      <c r="F5" s="12" t="s">
        <v>29</v>
      </c>
      <c r="G5" s="13" t="s">
        <v>31</v>
      </c>
      <c r="H5" s="19" t="s">
        <v>44</v>
      </c>
      <c r="J5" s="5" t="s">
        <v>30</v>
      </c>
      <c r="K5" s="8" t="s">
        <v>35</v>
      </c>
      <c r="L5" s="5" t="s">
        <v>29</v>
      </c>
      <c r="M5" s="8" t="s">
        <v>35</v>
      </c>
      <c r="N5" s="5" t="s">
        <v>36</v>
      </c>
      <c r="O5" s="8" t="s">
        <v>35</v>
      </c>
    </row>
    <row r="6" spans="2:15" x14ac:dyDescent="0.3">
      <c r="B6" s="14" t="s">
        <v>0</v>
      </c>
      <c r="C6" s="15" t="s">
        <v>39</v>
      </c>
      <c r="D6" s="15"/>
      <c r="E6" s="15" t="s">
        <v>1</v>
      </c>
      <c r="F6" s="15" t="s">
        <v>2</v>
      </c>
      <c r="G6" s="16" t="s">
        <v>3</v>
      </c>
      <c r="H6" s="16"/>
      <c r="J6" s="7" t="str" cm="1">
        <f t="array" ref="J6:K8">_xlfn.LET(
    _xlpm.rng, tblHotel13[Starter],
    _xlpm.u, _xlfn.UNIQUE(_xlpm.rng),
    _xlpm.uClean, _xlfn._xlws.FILTER(_xlpm.u, (_xlpm.u &lt;&gt; "No Starter") * (_xlpm.u &lt;&gt; "")),
    _xlfn.HSTACK(_xlpm.uClean, COUNTIF(_xlpm.rng, _xlpm.uClean))
)</f>
        <v>Creamy Garlic Mushrooms, Sourdough bread £8.50</v>
      </c>
      <c r="K6" s="9">
        <v>4</v>
      </c>
      <c r="L6" s="7" t="str" cm="1">
        <f t="array" ref="L6:M15">_xlfn.LET(
    _xlpm.rng, tblHotel13[Main],
    _xlpm.u, _xlfn.UNIQUE(_xlpm.rng),
    _xlpm.uClean, _xlfn._xlws.FILTER(_xlpm.u, (_xlpm.u &lt;&gt; "No Main") * (_xlpm.u &lt;&gt; "")),
    _xlfn.HSTACK(_xlpm.uClean, COUNTIF(_xlpm.rng, _xlpm.uClean))
)</f>
        <v>Cheese &amp; Potato Pie with chips, sticky red cabbage, gravy - £17.50</v>
      </c>
      <c r="M6" s="9">
        <v>1</v>
      </c>
      <c r="N6" s="7" t="str" cm="1">
        <f t="array" ref="N6:O9">_xlfn.LET(
    _xlpm.rng, tblHotel13[Dessert],
    _xlpm.u, _xlfn.UNIQUE(_xlpm.rng),
    _xlpm.uClean, _xlfn._xlws.FILTER(_xlpm.u, (_xlpm.u &lt;&gt; "No Dessert") * (_xlpm.u &lt;&gt; "")),
    _xlfn.HSTACK(_xlpm.uClean, COUNTIF(_xlpm.rng, _xlpm.uClean))
)</f>
        <v>Chocolate Brownie, with Ice Cream - £8.50</v>
      </c>
      <c r="O6" s="9">
        <v>1</v>
      </c>
    </row>
    <row r="7" spans="2:15" ht="28.8" x14ac:dyDescent="0.3">
      <c r="B7" s="14" t="s">
        <v>16</v>
      </c>
      <c r="C7" s="15" t="s">
        <v>39</v>
      </c>
      <c r="D7" s="15"/>
      <c r="E7" s="15" t="s">
        <v>10</v>
      </c>
      <c r="F7" s="15" t="s">
        <v>17</v>
      </c>
      <c r="G7" s="16" t="s">
        <v>18</v>
      </c>
      <c r="H7" s="16"/>
      <c r="J7" s="7" t="str">
        <v>Classic Prawn Cocktail, Marie Rose Sauce, Rye Bread £11</v>
      </c>
      <c r="K7" s="9">
        <v>1</v>
      </c>
      <c r="L7" s="7" t="str">
        <v>Steak &amp; Ale Pie with mash, sticky red cabbage, gravy - £17.50</v>
      </c>
      <c r="M7" s="9">
        <v>2</v>
      </c>
      <c r="N7" s="7" t="str">
        <v>Sticky Toffee Pudding with Custard - £9</v>
      </c>
      <c r="O7" s="9">
        <v>1</v>
      </c>
    </row>
    <row r="8" spans="2:15" ht="43.2" x14ac:dyDescent="0.3">
      <c r="B8" s="14" t="s">
        <v>27</v>
      </c>
      <c r="C8" s="15" t="s">
        <v>40</v>
      </c>
      <c r="D8" s="15" t="s">
        <v>41</v>
      </c>
      <c r="E8" s="15" t="s">
        <v>10</v>
      </c>
      <c r="F8" s="15" t="s">
        <v>28</v>
      </c>
      <c r="G8" s="16" t="s">
        <v>3</v>
      </c>
      <c r="H8" s="16"/>
      <c r="J8" s="7" t="str">
        <v>Hummus, flatbread, and olives £7.50</v>
      </c>
      <c r="K8" s="9">
        <v>1</v>
      </c>
      <c r="L8" s="7" t="str">
        <v>Sweet potato roulade with a tomato &amp; herb sauce, and seasonal veg - £16.50</v>
      </c>
      <c r="M8" s="9">
        <v>2</v>
      </c>
      <c r="N8" s="7" t="str">
        <v>Sweet Potato cake, caramel sauce - £8.50</v>
      </c>
      <c r="O8" s="9">
        <v>1</v>
      </c>
    </row>
    <row r="9" spans="2:15" ht="31.2" customHeight="1" x14ac:dyDescent="0.3">
      <c r="B9" s="14" t="s">
        <v>4</v>
      </c>
      <c r="C9" s="15" t="s">
        <v>39</v>
      </c>
      <c r="D9" s="15"/>
      <c r="E9" s="15" t="s">
        <v>5</v>
      </c>
      <c r="F9" s="15" t="s">
        <v>6</v>
      </c>
      <c r="G9" s="16" t="s">
        <v>3</v>
      </c>
      <c r="H9" s="16"/>
      <c r="J9" s="7"/>
      <c r="K9" s="9"/>
      <c r="L9" s="7" t="str">
        <v>Chicken Pie with mash, sticky red cabbage, gravy - £17.50</v>
      </c>
      <c r="M9" s="9">
        <v>2</v>
      </c>
      <c r="N9" s="7" t="str">
        <v>Crumble of the week, with custard and pouring cream - £10.50</v>
      </c>
      <c r="O9" s="9">
        <v>1</v>
      </c>
    </row>
    <row r="10" spans="2:15" x14ac:dyDescent="0.3">
      <c r="B10" s="14" t="s">
        <v>19</v>
      </c>
      <c r="C10" s="15" t="s">
        <v>39</v>
      </c>
      <c r="D10" s="15"/>
      <c r="E10" s="15" t="s">
        <v>20</v>
      </c>
      <c r="F10" s="15" t="s">
        <v>17</v>
      </c>
      <c r="G10" s="16" t="s">
        <v>3</v>
      </c>
      <c r="H10" s="16"/>
      <c r="J10" s="7"/>
      <c r="K10" s="9"/>
      <c r="L10" s="7" t="str">
        <v>Homemade beef lasagne, Garlic bread - £18</v>
      </c>
      <c r="M10" s="9">
        <v>2</v>
      </c>
      <c r="N10" s="7"/>
      <c r="O10" s="9"/>
    </row>
    <row r="11" spans="2:15" x14ac:dyDescent="0.3">
      <c r="B11" s="14" t="s">
        <v>11</v>
      </c>
      <c r="C11" s="15" t="s">
        <v>39</v>
      </c>
      <c r="D11" s="15"/>
      <c r="E11" s="15" t="s">
        <v>10</v>
      </c>
      <c r="F11" s="15" t="s">
        <v>12</v>
      </c>
      <c r="G11" s="16" t="s">
        <v>3</v>
      </c>
      <c r="H11" s="16"/>
      <c r="J11" s="7"/>
      <c r="K11" s="9"/>
      <c r="L11" s="7" t="str">
        <v>Steak Rump served with tomato, mushroom, chips, garlic butter sauce - £24</v>
      </c>
      <c r="M11" s="9">
        <v>1</v>
      </c>
      <c r="N11" s="7"/>
      <c r="O11" s="9"/>
    </row>
    <row r="12" spans="2:15" x14ac:dyDescent="0.3">
      <c r="B12" s="14" t="s">
        <v>13</v>
      </c>
      <c r="C12" s="15" t="s">
        <v>39</v>
      </c>
      <c r="D12" s="15"/>
      <c r="E12" s="15" t="s">
        <v>10</v>
      </c>
      <c r="F12" s="15" t="s">
        <v>12</v>
      </c>
      <c r="G12" s="16" t="s">
        <v>3</v>
      </c>
      <c r="H12" s="16"/>
      <c r="J12" s="7"/>
      <c r="K12" s="9"/>
      <c r="L12" s="7" t="str">
        <v>Steak &amp; Ale Pie with chips, sticky red cabbage, gravy - £17.50</v>
      </c>
      <c r="M12" s="9">
        <v>3</v>
      </c>
      <c r="N12" s="7"/>
      <c r="O12" s="9"/>
    </row>
    <row r="13" spans="2:15" x14ac:dyDescent="0.3">
      <c r="B13" s="14" t="s">
        <v>7</v>
      </c>
      <c r="C13" s="15" t="s">
        <v>39</v>
      </c>
      <c r="D13" s="15"/>
      <c r="E13" s="15" t="s">
        <v>1</v>
      </c>
      <c r="F13" s="15" t="s">
        <v>8</v>
      </c>
      <c r="G13" s="16" t="s">
        <v>3</v>
      </c>
      <c r="H13" s="16"/>
      <c r="J13" s="7"/>
      <c r="K13" s="9"/>
      <c r="L13" s="7" t="str">
        <v>Steak Rump served with tomato, mushroom, chips, peppercorn sauce - £24</v>
      </c>
      <c r="M13" s="9">
        <v>1</v>
      </c>
      <c r="N13" s="7"/>
      <c r="O13" s="9"/>
    </row>
    <row r="14" spans="2:15" x14ac:dyDescent="0.3">
      <c r="B14" s="14" t="s">
        <v>21</v>
      </c>
      <c r="C14" s="15" t="s">
        <v>39</v>
      </c>
      <c r="D14" s="15"/>
      <c r="E14" s="15" t="s">
        <v>10</v>
      </c>
      <c r="F14" s="15" t="s">
        <v>22</v>
      </c>
      <c r="G14" s="16" t="s">
        <v>23</v>
      </c>
      <c r="H14" s="16"/>
      <c r="J14" s="7"/>
      <c r="K14" s="9"/>
      <c r="L14" s="7" t="str">
        <v>Beer battered cod, chips, peas - £18.50</v>
      </c>
      <c r="M14" s="9">
        <v>1</v>
      </c>
      <c r="N14" s="7"/>
      <c r="O14" s="9"/>
    </row>
    <row r="15" spans="2:15" x14ac:dyDescent="0.3">
      <c r="B15" s="14" t="s">
        <v>42</v>
      </c>
      <c r="C15" s="15" t="s">
        <v>39</v>
      </c>
      <c r="D15" s="15"/>
      <c r="E15" s="15" t="s">
        <v>10</v>
      </c>
      <c r="F15" s="15" t="s">
        <v>14</v>
      </c>
      <c r="G15" s="16" t="s">
        <v>3</v>
      </c>
      <c r="H15" s="16"/>
      <c r="J15" s="7"/>
      <c r="K15" s="9"/>
      <c r="L15" s="7" t="str">
        <v>Ham &amp; Leek Pie with mash, sticky red cabbage, gravy - £17.50</v>
      </c>
      <c r="M15" s="9">
        <v>2</v>
      </c>
      <c r="N15" s="7"/>
      <c r="O15" s="9"/>
    </row>
    <row r="16" spans="2:15" x14ac:dyDescent="0.3">
      <c r="B16" s="14" t="s">
        <v>24</v>
      </c>
      <c r="C16" s="15" t="s">
        <v>39</v>
      </c>
      <c r="D16" s="15"/>
      <c r="E16" s="15" t="s">
        <v>1</v>
      </c>
      <c r="F16" s="15" t="s">
        <v>25</v>
      </c>
      <c r="G16" s="16" t="s">
        <v>26</v>
      </c>
      <c r="H16" s="16"/>
      <c r="J16" s="7"/>
      <c r="K16" s="9"/>
      <c r="L16" s="7"/>
      <c r="M16" s="9"/>
      <c r="N16" s="7"/>
      <c r="O16" s="9"/>
    </row>
    <row r="17" spans="2:16" x14ac:dyDescent="0.3">
      <c r="B17" s="14" t="s">
        <v>9</v>
      </c>
      <c r="C17" s="15" t="s">
        <v>39</v>
      </c>
      <c r="D17" s="15"/>
      <c r="E17" s="15" t="s">
        <v>10</v>
      </c>
      <c r="F17" s="15" t="s">
        <v>8</v>
      </c>
      <c r="G17" s="16" t="s">
        <v>3</v>
      </c>
      <c r="H17" s="16"/>
      <c r="J17" s="7"/>
      <c r="K17" s="9"/>
      <c r="L17" s="7"/>
      <c r="M17" s="9"/>
      <c r="N17" s="7"/>
      <c r="O17" s="9"/>
    </row>
    <row r="18" spans="2:16" x14ac:dyDescent="0.3">
      <c r="B18" s="14" t="s">
        <v>15</v>
      </c>
      <c r="C18" s="15" t="s">
        <v>39</v>
      </c>
      <c r="D18" s="15"/>
      <c r="E18" s="15" t="s">
        <v>1</v>
      </c>
      <c r="F18" s="15" t="s">
        <v>14</v>
      </c>
      <c r="G18" s="16" t="s">
        <v>3</v>
      </c>
      <c r="H18" s="16"/>
      <c r="J18" s="2"/>
      <c r="K18" s="10"/>
      <c r="L18" s="2"/>
      <c r="M18" s="10"/>
      <c r="N18" s="2"/>
      <c r="O18" s="10"/>
    </row>
    <row r="19" spans="2:16" x14ac:dyDescent="0.3">
      <c r="B19" s="14" t="s">
        <v>103</v>
      </c>
      <c r="C19" s="15" t="s">
        <v>39</v>
      </c>
      <c r="D19" s="15"/>
      <c r="E19" s="15" t="s">
        <v>10</v>
      </c>
      <c r="F19" s="15" t="s">
        <v>6</v>
      </c>
      <c r="G19" s="16" t="s">
        <v>3</v>
      </c>
      <c r="H19" s="16"/>
      <c r="J19" s="2"/>
      <c r="K19" s="10"/>
      <c r="L19" s="2"/>
      <c r="M19" s="10"/>
      <c r="N19" s="2"/>
      <c r="O19" s="10"/>
    </row>
    <row r="20" spans="2:16" x14ac:dyDescent="0.3">
      <c r="B20" s="14" t="s">
        <v>104</v>
      </c>
      <c r="C20" s="15" t="s">
        <v>39</v>
      </c>
      <c r="D20" s="15"/>
      <c r="E20" s="15" t="s">
        <v>10</v>
      </c>
      <c r="F20" s="15" t="s">
        <v>105</v>
      </c>
      <c r="G20" s="16" t="s">
        <v>3</v>
      </c>
      <c r="H20" s="16"/>
      <c r="J20" s="2"/>
      <c r="K20" s="10"/>
      <c r="L20" s="2"/>
      <c r="M20" s="10"/>
      <c r="N20" s="2"/>
      <c r="O20" s="10"/>
    </row>
    <row r="21" spans="2:16" x14ac:dyDescent="0.3">
      <c r="B21" s="14" t="s">
        <v>106</v>
      </c>
      <c r="C21" s="15" t="s">
        <v>39</v>
      </c>
      <c r="D21" s="15"/>
      <c r="E21" s="15" t="s">
        <v>10</v>
      </c>
      <c r="F21" s="15" t="s">
        <v>14</v>
      </c>
      <c r="G21" s="16" t="s">
        <v>3</v>
      </c>
      <c r="H21" s="16"/>
    </row>
    <row r="22" spans="2:16" ht="28.8" x14ac:dyDescent="0.3">
      <c r="B22" s="14" t="s">
        <v>107</v>
      </c>
      <c r="C22" s="15" t="s">
        <v>40</v>
      </c>
      <c r="D22" s="15" t="s">
        <v>108</v>
      </c>
      <c r="E22" s="15" t="s">
        <v>10</v>
      </c>
      <c r="F22" s="15" t="s">
        <v>28</v>
      </c>
      <c r="G22" s="16" t="s">
        <v>109</v>
      </c>
      <c r="H22" s="16"/>
    </row>
    <row r="23" spans="2:16" x14ac:dyDescent="0.3">
      <c r="B23" s="14" t="s">
        <v>121</v>
      </c>
      <c r="C23" s="15" t="s">
        <v>39</v>
      </c>
      <c r="D23" s="15"/>
      <c r="E23" s="15" t="s">
        <v>10</v>
      </c>
      <c r="F23" s="15" t="s">
        <v>122</v>
      </c>
      <c r="G23" s="16" t="s">
        <v>3</v>
      </c>
      <c r="H23" s="16"/>
    </row>
    <row r="24" spans="2:16" x14ac:dyDescent="0.3">
      <c r="B24" s="14" t="s">
        <v>123</v>
      </c>
      <c r="C24" s="15" t="s">
        <v>39</v>
      </c>
      <c r="D24" s="15"/>
      <c r="E24" s="15" t="s">
        <v>10</v>
      </c>
      <c r="F24" s="15" t="s">
        <v>122</v>
      </c>
      <c r="G24" s="16" t="s">
        <v>3</v>
      </c>
      <c r="H24" s="16"/>
    </row>
    <row r="27" spans="2:16" x14ac:dyDescent="0.3">
      <c r="P27" s="6"/>
    </row>
    <row r="28" spans="2:16" s="6" customFormat="1" x14ac:dyDescent="0.3">
      <c r="J28" s="1"/>
      <c r="K28" s="1"/>
      <c r="L28" s="1"/>
      <c r="M28" s="1"/>
      <c r="N28" s="1"/>
      <c r="O28" s="1"/>
    </row>
    <row r="29" spans="2:16" s="6" customFormat="1" x14ac:dyDescent="0.3">
      <c r="J29" s="1"/>
      <c r="K29" s="1"/>
      <c r="L29" s="1"/>
      <c r="M29" s="1"/>
      <c r="N29" s="1"/>
      <c r="O29" s="1"/>
    </row>
    <row r="30" spans="2:16" s="6" customFormat="1" x14ac:dyDescent="0.3"/>
    <row r="31" spans="2:16" s="6" customFormat="1" x14ac:dyDescent="0.3"/>
    <row r="32" spans="2:16" s="6" customFormat="1" x14ac:dyDescent="0.3"/>
    <row r="33" spans="10:16" s="6" customFormat="1" x14ac:dyDescent="0.3"/>
    <row r="34" spans="10:16" s="6" customFormat="1" x14ac:dyDescent="0.3"/>
    <row r="35" spans="10:16" s="6" customFormat="1" x14ac:dyDescent="0.3"/>
    <row r="36" spans="10:16" s="6" customFormat="1" x14ac:dyDescent="0.3"/>
    <row r="37" spans="10:16" s="6" customFormat="1" x14ac:dyDescent="0.3"/>
    <row r="38" spans="10:16" s="6" customFormat="1" x14ac:dyDescent="0.3"/>
    <row r="39" spans="10:16" s="6" customFormat="1" x14ac:dyDescent="0.3">
      <c r="J39" s="1"/>
      <c r="K39" s="1"/>
      <c r="L39" s="1"/>
      <c r="M39" s="1"/>
      <c r="N39" s="1"/>
      <c r="O39" s="1"/>
    </row>
    <row r="40" spans="10:16" s="6" customFormat="1" x14ac:dyDescent="0.3">
      <c r="J40" s="1"/>
      <c r="K40" s="1"/>
      <c r="L40" s="1"/>
      <c r="M40" s="1"/>
      <c r="N40" s="1"/>
      <c r="O40" s="1"/>
      <c r="P40" s="1"/>
    </row>
  </sheetData>
  <pageMargins left="0.11811023622047245" right="0.11811023622047245" top="0.35433070866141736" bottom="0.35433070866141736" header="0.31496062992125984" footer="0.31496062992125984"/>
  <pageSetup paperSize="9" scale="6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A305-6A6D-4E08-8BDC-3A0A86BECE38}">
  <sheetPr>
    <pageSetUpPr fitToPage="1"/>
  </sheetPr>
  <dimension ref="B1:P40"/>
  <sheetViews>
    <sheetView showGridLines="0" zoomScale="70" zoomScaleNormal="70" workbookViewId="0">
      <selection activeCell="B1" sqref="B1:H24"/>
    </sheetView>
  </sheetViews>
  <sheetFormatPr defaultColWidth="8.77734375" defaultRowHeight="14.4" x14ac:dyDescent="0.3"/>
  <cols>
    <col min="1" max="1" width="3.77734375" style="1" customWidth="1"/>
    <col min="2" max="2" width="19.77734375" style="1" customWidth="1"/>
    <col min="3" max="3" width="9.44140625" style="1" customWidth="1"/>
    <col min="4" max="4" width="23" style="1" customWidth="1"/>
    <col min="5" max="5" width="48.88671875" style="1" customWidth="1"/>
    <col min="6" max="6" width="64.109375" style="1" customWidth="1"/>
    <col min="7" max="7" width="35.33203125" style="1" customWidth="1"/>
    <col min="8" max="8" width="41.21875" style="1" customWidth="1"/>
    <col min="9" max="9" width="6.5546875" style="1" customWidth="1"/>
    <col min="10" max="10" width="42.6640625" style="1" customWidth="1"/>
    <col min="11" max="11" width="11" style="1" customWidth="1"/>
    <col min="12" max="12" width="50.77734375" style="1" customWidth="1"/>
    <col min="13" max="13" width="8.77734375" style="1"/>
    <col min="14" max="14" width="45.109375" style="1" customWidth="1"/>
    <col min="15" max="16384" width="8.77734375" style="1"/>
  </cols>
  <sheetData>
    <row r="1" spans="2:15" ht="25.8" x14ac:dyDescent="0.5">
      <c r="B1" s="3" t="s">
        <v>102</v>
      </c>
      <c r="C1" s="3"/>
    </row>
    <row r="3" spans="2:15" ht="18" x14ac:dyDescent="0.35">
      <c r="B3" s="4" t="s">
        <v>37</v>
      </c>
      <c r="C3" s="4"/>
      <c r="J3" s="4" t="s">
        <v>38</v>
      </c>
      <c r="K3" s="4"/>
    </row>
    <row r="5" spans="2:15" ht="34.799999999999997" customHeight="1" x14ac:dyDescent="0.3">
      <c r="B5" s="11" t="s">
        <v>33</v>
      </c>
      <c r="C5" s="12" t="s">
        <v>43</v>
      </c>
      <c r="D5" s="12" t="s">
        <v>34</v>
      </c>
      <c r="E5" s="12" t="s">
        <v>30</v>
      </c>
      <c r="F5" s="12" t="s">
        <v>29</v>
      </c>
      <c r="G5" s="13" t="s">
        <v>31</v>
      </c>
      <c r="H5" s="19" t="s">
        <v>44</v>
      </c>
      <c r="J5" s="5" t="s">
        <v>30</v>
      </c>
      <c r="K5" s="8" t="s">
        <v>35</v>
      </c>
      <c r="L5" s="5" t="s">
        <v>29</v>
      </c>
      <c r="M5" s="8" t="s">
        <v>35</v>
      </c>
      <c r="N5" s="5" t="s">
        <v>36</v>
      </c>
      <c r="O5" s="8" t="s">
        <v>35</v>
      </c>
    </row>
    <row r="6" spans="2:15" ht="28.8" x14ac:dyDescent="0.3">
      <c r="B6" s="14" t="s">
        <v>0</v>
      </c>
      <c r="C6" s="15" t="s">
        <v>39</v>
      </c>
      <c r="D6" s="15"/>
      <c r="E6" s="15" t="s">
        <v>10</v>
      </c>
      <c r="F6" s="15" t="s">
        <v>45</v>
      </c>
      <c r="G6" s="16" t="s">
        <v>46</v>
      </c>
      <c r="H6" s="18"/>
      <c r="J6" s="7" t="str" cm="1">
        <f t="array" ref="J6:K7">_xlfn.LET(
    _xlpm.rng, tblHotel134[Starter],
    _xlpm.u, _xlfn.UNIQUE(_xlpm.rng),
    _xlpm.uClean, _xlfn._xlws.FILTER(_xlpm.u, (_xlpm.u &lt;&gt; "No Starter") * (_xlpm.u &lt;&gt; "")),
    _xlfn.HSTACK(_xlpm.uClean, COUNTIF(_xlpm.rng, _xlpm.uClean))
)</f>
        <v>Chef’s Soup of the Day</v>
      </c>
      <c r="K6" s="9">
        <v>2</v>
      </c>
      <c r="L6" s="7" t="str" cm="1">
        <f t="array" ref="L6:M9">_xlfn.LET(
    _xlpm.rng, tblHotel134[Main],
    _xlpm.u, _xlfn.UNIQUE(_xlpm.rng),
    _xlpm.uClean, _xlfn._xlws.FILTER(_xlpm.u, (_xlpm.u &lt;&gt; "No Main") * (_xlpm.u &lt;&gt; "")),
    _xlfn.HSTACK(_xlpm.uClean, COUNTIF(_xlpm.rng, _xlpm.uClean))
)</f>
        <v>Beer battered Cod &amp; Chips served with chips, mushy peas, lemon wedge &amp; tartare sauce</v>
      </c>
      <c r="M6" s="9">
        <v>11</v>
      </c>
      <c r="N6" s="7" t="str" cm="1">
        <f t="array" ref="N6:O7">_xlfn.LET(
    _xlpm.rng, tblHotel134[Dessert],
    _xlpm.u, _xlfn.UNIQUE(_xlpm.rng),
    _xlpm.uClean, _xlfn._xlws.FILTER(_xlpm.u, (_xlpm.u &lt;&gt; "No Dessert") * (_xlpm.u &lt;&gt; "")),
    _xlfn.HSTACK(_xlpm.uClean, COUNTIF(_xlpm.rng, _xlpm.uClean))
)</f>
        <v>Sticky Toffee Pudding with Custard</v>
      </c>
      <c r="O6" s="9">
        <v>8</v>
      </c>
    </row>
    <row r="7" spans="2:15" ht="28.8" x14ac:dyDescent="0.3">
      <c r="B7" s="14" t="s">
        <v>16</v>
      </c>
      <c r="C7" s="15" t="s">
        <v>39</v>
      </c>
      <c r="D7" s="15"/>
      <c r="E7" s="15" t="s">
        <v>10</v>
      </c>
      <c r="F7" s="15" t="s">
        <v>45</v>
      </c>
      <c r="G7" s="16" t="s">
        <v>46</v>
      </c>
      <c r="H7" s="17" t="s">
        <v>47</v>
      </c>
      <c r="J7" s="7" t="str">
        <v>Lightly fried whitebait served with burnt lemon &amp; tartar dip</v>
      </c>
      <c r="K7" s="9">
        <v>4</v>
      </c>
      <c r="L7" s="7" t="str">
        <v>Tadka Dal (Red Lentil Curry) A flavorful and hearty dish, made with red lentils, simmered in mild spices, tempered with onions, garlic and cumin. Served with saffron flavored basmati rice &amp; Poppadum</v>
      </c>
      <c r="M7" s="9">
        <v>2</v>
      </c>
      <c r="N7" s="7" t="str">
        <v>Cheesecake with Mix Berries Compote</v>
      </c>
      <c r="O7" s="9">
        <v>6</v>
      </c>
    </row>
    <row r="8" spans="2:15" ht="43.2" x14ac:dyDescent="0.3">
      <c r="B8" s="14" t="s">
        <v>27</v>
      </c>
      <c r="C8" s="15" t="s">
        <v>40</v>
      </c>
      <c r="D8" s="15" t="s">
        <v>41</v>
      </c>
      <c r="E8" s="15" t="s">
        <v>48</v>
      </c>
      <c r="F8" s="15" t="s">
        <v>49</v>
      </c>
      <c r="G8" s="16" t="s">
        <v>3</v>
      </c>
      <c r="H8" s="17" t="s">
        <v>50</v>
      </c>
      <c r="J8" s="7"/>
      <c r="K8" s="9"/>
      <c r="L8" s="7" t="str">
        <v>Seafood Tagliatelle simmered in Bisque with prawns, squids &amp; mussels served with lemon, Urfa Chilli, chives &amp; Parmesan</v>
      </c>
      <c r="M8" s="9">
        <v>4</v>
      </c>
      <c r="N8" s="7"/>
      <c r="O8" s="9"/>
    </row>
    <row r="9" spans="2:15" ht="28.8" x14ac:dyDescent="0.3">
      <c r="B9" s="14" t="s">
        <v>4</v>
      </c>
      <c r="C9" s="15" t="s">
        <v>39</v>
      </c>
      <c r="D9" s="15"/>
      <c r="E9" s="15" t="s">
        <v>51</v>
      </c>
      <c r="F9" s="15" t="s">
        <v>45</v>
      </c>
      <c r="G9" s="16" t="s">
        <v>3</v>
      </c>
      <c r="H9" s="17"/>
      <c r="J9" s="7"/>
      <c r="K9" s="9"/>
      <c r="L9" s="7" t="str">
        <v>Butter chicken in a rich &amp; silky makhani sauce served with saffron flavored basmati rice &amp; poppadum</v>
      </c>
      <c r="M9" s="9">
        <v>2</v>
      </c>
      <c r="N9" s="7"/>
      <c r="O9" s="9"/>
    </row>
    <row r="10" spans="2:15" ht="28.8" x14ac:dyDescent="0.3">
      <c r="B10" s="14" t="s">
        <v>19</v>
      </c>
      <c r="C10" s="15" t="s">
        <v>39</v>
      </c>
      <c r="D10" s="15"/>
      <c r="E10" s="15" t="s">
        <v>10</v>
      </c>
      <c r="F10" s="15" t="s">
        <v>52</v>
      </c>
      <c r="G10" s="16" t="s">
        <v>46</v>
      </c>
      <c r="H10" s="17"/>
      <c r="J10" s="7"/>
      <c r="K10" s="9"/>
      <c r="L10" s="7"/>
      <c r="M10" s="9"/>
      <c r="N10" s="7"/>
      <c r="O10" s="9"/>
    </row>
    <row r="11" spans="2:15" ht="28.8" x14ac:dyDescent="0.3">
      <c r="B11" s="14" t="s">
        <v>11</v>
      </c>
      <c r="C11" s="15" t="s">
        <v>39</v>
      </c>
      <c r="D11" s="15"/>
      <c r="E11" s="15" t="s">
        <v>10</v>
      </c>
      <c r="F11" s="15" t="s">
        <v>45</v>
      </c>
      <c r="G11" s="16" t="s">
        <v>53</v>
      </c>
      <c r="H11" s="17"/>
      <c r="J11" s="7"/>
      <c r="K11" s="9"/>
      <c r="L11" s="7"/>
      <c r="M11" s="9"/>
      <c r="N11" s="7"/>
      <c r="O11" s="9"/>
    </row>
    <row r="12" spans="2:15" ht="28.8" x14ac:dyDescent="0.3">
      <c r="B12" s="14" t="s">
        <v>13</v>
      </c>
      <c r="C12" s="15" t="s">
        <v>39</v>
      </c>
      <c r="D12" s="15"/>
      <c r="E12" s="15" t="s">
        <v>10</v>
      </c>
      <c r="F12" s="15" t="s">
        <v>45</v>
      </c>
      <c r="G12" s="16" t="s">
        <v>53</v>
      </c>
      <c r="H12" s="17"/>
      <c r="J12" s="7"/>
      <c r="K12" s="9"/>
      <c r="L12" s="7"/>
      <c r="M12" s="9"/>
      <c r="N12" s="7"/>
      <c r="O12" s="9"/>
    </row>
    <row r="13" spans="2:15" ht="28.8" x14ac:dyDescent="0.3">
      <c r="B13" s="14" t="s">
        <v>7</v>
      </c>
      <c r="C13" s="15" t="s">
        <v>39</v>
      </c>
      <c r="D13" s="15"/>
      <c r="E13" s="15" t="s">
        <v>48</v>
      </c>
      <c r="F13" s="15" t="s">
        <v>54</v>
      </c>
      <c r="G13" s="16" t="s">
        <v>53</v>
      </c>
      <c r="H13" s="17"/>
      <c r="J13" s="7"/>
      <c r="K13" s="9"/>
      <c r="L13" s="7"/>
      <c r="M13" s="9"/>
      <c r="N13" s="7"/>
      <c r="O13" s="9"/>
    </row>
    <row r="14" spans="2:15" ht="28.8" x14ac:dyDescent="0.3">
      <c r="B14" s="14" t="s">
        <v>21</v>
      </c>
      <c r="C14" s="15" t="s">
        <v>39</v>
      </c>
      <c r="D14" s="15"/>
      <c r="E14" s="15" t="s">
        <v>10</v>
      </c>
      <c r="F14" s="15" t="s">
        <v>45</v>
      </c>
      <c r="G14" s="16" t="s">
        <v>53</v>
      </c>
      <c r="H14" s="17" t="s">
        <v>55</v>
      </c>
      <c r="J14" s="7"/>
      <c r="K14" s="9"/>
      <c r="L14" s="7"/>
      <c r="M14" s="9"/>
      <c r="N14" s="7"/>
      <c r="O14" s="9"/>
    </row>
    <row r="15" spans="2:15" ht="28.8" x14ac:dyDescent="0.3">
      <c r="B15" s="14" t="s">
        <v>42</v>
      </c>
      <c r="C15" s="15" t="s">
        <v>39</v>
      </c>
      <c r="D15" s="15"/>
      <c r="E15" s="15" t="s">
        <v>10</v>
      </c>
      <c r="F15" s="15" t="s">
        <v>45</v>
      </c>
      <c r="G15" s="16" t="s">
        <v>53</v>
      </c>
      <c r="H15" s="17"/>
      <c r="J15" s="7"/>
      <c r="K15" s="9"/>
      <c r="L15" s="7"/>
      <c r="M15" s="9"/>
      <c r="N15" s="7"/>
      <c r="O15" s="9"/>
    </row>
    <row r="16" spans="2:15" ht="28.8" x14ac:dyDescent="0.3">
      <c r="B16" s="14" t="s">
        <v>24</v>
      </c>
      <c r="C16" s="15" t="s">
        <v>39</v>
      </c>
      <c r="D16" s="15"/>
      <c r="E16" s="15" t="s">
        <v>51</v>
      </c>
      <c r="F16" s="15" t="s">
        <v>52</v>
      </c>
      <c r="G16" s="16" t="s">
        <v>3</v>
      </c>
      <c r="H16" s="17"/>
      <c r="J16" s="7"/>
      <c r="K16" s="9"/>
      <c r="L16" s="7"/>
      <c r="M16" s="9"/>
      <c r="N16" s="7"/>
      <c r="O16" s="9"/>
    </row>
    <row r="17" spans="2:16" ht="28.8" x14ac:dyDescent="0.3">
      <c r="B17" s="14" t="s">
        <v>9</v>
      </c>
      <c r="C17" s="15" t="s">
        <v>39</v>
      </c>
      <c r="D17" s="15"/>
      <c r="E17" s="15" t="s">
        <v>51</v>
      </c>
      <c r="F17" s="15" t="s">
        <v>52</v>
      </c>
      <c r="G17" s="16" t="s">
        <v>3</v>
      </c>
      <c r="H17" s="17"/>
      <c r="J17" s="7"/>
      <c r="K17" s="9"/>
      <c r="L17" s="7"/>
      <c r="M17" s="9"/>
      <c r="N17" s="7"/>
      <c r="O17" s="9"/>
    </row>
    <row r="18" spans="2:16" ht="28.8" x14ac:dyDescent="0.3">
      <c r="B18" s="14" t="s">
        <v>15</v>
      </c>
      <c r="C18" s="15" t="s">
        <v>39</v>
      </c>
      <c r="D18" s="15"/>
      <c r="E18" s="15" t="s">
        <v>10</v>
      </c>
      <c r="F18" s="15" t="s">
        <v>54</v>
      </c>
      <c r="G18" s="16" t="s">
        <v>46</v>
      </c>
      <c r="H18" s="17"/>
      <c r="J18" s="2"/>
      <c r="K18" s="10"/>
      <c r="L18" s="2"/>
      <c r="M18" s="10"/>
      <c r="N18" s="2"/>
      <c r="O18" s="10"/>
    </row>
    <row r="19" spans="2:16" ht="28.8" x14ac:dyDescent="0.3">
      <c r="B19" s="14" t="s">
        <v>103</v>
      </c>
      <c r="C19" s="15" t="s">
        <v>39</v>
      </c>
      <c r="D19" s="15"/>
      <c r="E19" s="15" t="s">
        <v>10</v>
      </c>
      <c r="F19" s="15" t="s">
        <v>45</v>
      </c>
      <c r="G19" s="16" t="s">
        <v>46</v>
      </c>
      <c r="H19" s="17"/>
      <c r="J19" s="2"/>
      <c r="K19" s="10"/>
      <c r="L19" s="2"/>
      <c r="M19" s="10"/>
      <c r="N19" s="2"/>
      <c r="O19" s="10"/>
    </row>
    <row r="20" spans="2:16" ht="28.8" x14ac:dyDescent="0.3">
      <c r="B20" s="14" t="s">
        <v>104</v>
      </c>
      <c r="C20" s="15" t="s">
        <v>39</v>
      </c>
      <c r="D20" s="15"/>
      <c r="E20" s="15" t="s">
        <v>10</v>
      </c>
      <c r="F20" s="15" t="s">
        <v>52</v>
      </c>
      <c r="G20" s="16" t="s">
        <v>46</v>
      </c>
      <c r="H20" s="17" t="s">
        <v>110</v>
      </c>
      <c r="J20" s="2"/>
      <c r="K20" s="10"/>
      <c r="L20" s="2"/>
      <c r="M20" s="10"/>
      <c r="N20" s="2"/>
      <c r="O20" s="10"/>
    </row>
    <row r="21" spans="2:16" ht="28.8" x14ac:dyDescent="0.3">
      <c r="B21" s="14" t="s">
        <v>106</v>
      </c>
      <c r="C21" s="15" t="s">
        <v>39</v>
      </c>
      <c r="D21" s="15"/>
      <c r="E21" s="15" t="s">
        <v>10</v>
      </c>
      <c r="F21" s="15" t="s">
        <v>45</v>
      </c>
      <c r="G21" s="16" t="s">
        <v>53</v>
      </c>
      <c r="H21" s="17"/>
    </row>
    <row r="22" spans="2:16" ht="43.2" x14ac:dyDescent="0.3">
      <c r="B22" s="14" t="s">
        <v>107</v>
      </c>
      <c r="C22" s="15" t="s">
        <v>40</v>
      </c>
      <c r="D22" s="15" t="s">
        <v>108</v>
      </c>
      <c r="E22" s="15" t="s">
        <v>10</v>
      </c>
      <c r="F22" s="15" t="s">
        <v>49</v>
      </c>
      <c r="G22" s="16" t="s">
        <v>46</v>
      </c>
      <c r="H22" s="17"/>
    </row>
    <row r="23" spans="2:16" ht="28.8" x14ac:dyDescent="0.3">
      <c r="B23" s="14" t="s">
        <v>121</v>
      </c>
      <c r="C23" s="15" t="s">
        <v>39</v>
      </c>
      <c r="D23" s="15"/>
      <c r="E23" s="15" t="s">
        <v>10</v>
      </c>
      <c r="F23" s="15" t="s">
        <v>45</v>
      </c>
      <c r="G23" s="16" t="s">
        <v>46</v>
      </c>
      <c r="H23" s="17"/>
    </row>
    <row r="24" spans="2:16" ht="28.8" x14ac:dyDescent="0.3">
      <c r="B24" s="14" t="s">
        <v>123</v>
      </c>
      <c r="C24" s="15" t="s">
        <v>39</v>
      </c>
      <c r="D24" s="15"/>
      <c r="E24" s="15" t="s">
        <v>51</v>
      </c>
      <c r="F24" s="15" t="s">
        <v>45</v>
      </c>
      <c r="G24" s="16" t="s">
        <v>3</v>
      </c>
      <c r="H24" s="17"/>
    </row>
    <row r="27" spans="2:16" x14ac:dyDescent="0.3">
      <c r="P27" s="6"/>
    </row>
    <row r="28" spans="2:16" s="6" customFormat="1" x14ac:dyDescent="0.3">
      <c r="J28" s="1"/>
      <c r="K28" s="1"/>
      <c r="L28" s="1"/>
      <c r="M28" s="1"/>
      <c r="N28" s="1"/>
      <c r="O28" s="1"/>
    </row>
    <row r="29" spans="2:16" s="6" customFormat="1" x14ac:dyDescent="0.3">
      <c r="J29" s="1"/>
      <c r="K29" s="1"/>
      <c r="L29" s="1"/>
      <c r="M29" s="1"/>
      <c r="N29" s="1"/>
      <c r="O29" s="1"/>
    </row>
    <row r="30" spans="2:16" s="6" customFormat="1" x14ac:dyDescent="0.3"/>
    <row r="31" spans="2:16" s="6" customFormat="1" x14ac:dyDescent="0.3"/>
    <row r="32" spans="2:16" s="6" customFormat="1" x14ac:dyDescent="0.3"/>
    <row r="33" spans="10:16" s="6" customFormat="1" x14ac:dyDescent="0.3"/>
    <row r="34" spans="10:16" s="6" customFormat="1" x14ac:dyDescent="0.3"/>
    <row r="35" spans="10:16" s="6" customFormat="1" x14ac:dyDescent="0.3"/>
    <row r="36" spans="10:16" s="6" customFormat="1" x14ac:dyDescent="0.3"/>
    <row r="37" spans="10:16" s="6" customFormat="1" x14ac:dyDescent="0.3"/>
    <row r="38" spans="10:16" s="6" customFormat="1" x14ac:dyDescent="0.3"/>
    <row r="39" spans="10:16" s="6" customFormat="1" x14ac:dyDescent="0.3">
      <c r="J39" s="1"/>
      <c r="K39" s="1"/>
      <c r="L39" s="1"/>
      <c r="M39" s="1"/>
      <c r="N39" s="1"/>
      <c r="O39" s="1"/>
    </row>
    <row r="40" spans="10:16" s="6" customFormat="1" x14ac:dyDescent="0.3">
      <c r="J40" s="1"/>
      <c r="K40" s="1"/>
      <c r="L40" s="1"/>
      <c r="M40" s="1"/>
      <c r="N40" s="1"/>
      <c r="O40" s="1"/>
      <c r="P40" s="1"/>
    </row>
  </sheetData>
  <pageMargins left="0.11811023622047245" right="0.11811023622047245" top="0.35433070866141736" bottom="0.35433070866141736" header="0.31496062992125984" footer="0.31496062992125984"/>
  <pageSetup paperSize="9" scale="6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00E8-B705-4EBE-A801-E2DC2C3EDF0C}">
  <sheetPr>
    <pageSetUpPr fitToPage="1"/>
  </sheetPr>
  <dimension ref="B1:Q40"/>
  <sheetViews>
    <sheetView showGridLines="0" zoomScale="60" zoomScaleNormal="60" workbookViewId="0">
      <selection activeCell="B1" sqref="B1:I24"/>
    </sheetView>
  </sheetViews>
  <sheetFormatPr defaultColWidth="8.77734375" defaultRowHeight="14.4" x14ac:dyDescent="0.3"/>
  <cols>
    <col min="1" max="1" width="3.77734375" style="1" customWidth="1"/>
    <col min="2" max="2" width="18.21875" style="1" customWidth="1"/>
    <col min="3" max="3" width="10" style="1" customWidth="1"/>
    <col min="4" max="4" width="20.6640625" style="1" customWidth="1"/>
    <col min="5" max="5" width="43.5546875" style="1" customWidth="1"/>
    <col min="6" max="6" width="63.33203125" style="1" customWidth="1"/>
    <col min="7" max="7" width="29" style="1" bestFit="1" customWidth="1"/>
    <col min="8" max="8" width="41.21875" style="1" customWidth="1"/>
    <col min="9" max="9" width="33.6640625" style="1" customWidth="1"/>
    <col min="10" max="10" width="6.5546875" style="1" customWidth="1"/>
    <col min="11" max="11" width="42.6640625" style="1" customWidth="1"/>
    <col min="12" max="12" width="11" style="1" customWidth="1"/>
    <col min="13" max="13" width="50.77734375" style="1" customWidth="1"/>
    <col min="14" max="14" width="8.77734375" style="1"/>
    <col min="15" max="15" width="45.109375" style="1" customWidth="1"/>
    <col min="16" max="16384" width="8.77734375" style="1"/>
  </cols>
  <sheetData>
    <row r="1" spans="2:16" ht="25.8" x14ac:dyDescent="0.5">
      <c r="B1" s="3" t="s">
        <v>101</v>
      </c>
      <c r="C1" s="3"/>
    </row>
    <row r="3" spans="2:16" ht="18" x14ac:dyDescent="0.35">
      <c r="B3" s="4" t="s">
        <v>37</v>
      </c>
      <c r="C3" s="4"/>
      <c r="K3" s="4" t="s">
        <v>38</v>
      </c>
      <c r="L3" s="4"/>
    </row>
    <row r="5" spans="2:16" ht="42" customHeight="1" x14ac:dyDescent="0.3">
      <c r="B5" s="20" t="s">
        <v>33</v>
      </c>
      <c r="C5" s="21" t="s">
        <v>43</v>
      </c>
      <c r="D5" s="21" t="s">
        <v>34</v>
      </c>
      <c r="E5" s="21" t="s">
        <v>30</v>
      </c>
      <c r="F5" s="21" t="s">
        <v>29</v>
      </c>
      <c r="G5" s="22" t="s">
        <v>56</v>
      </c>
      <c r="H5" s="22" t="s">
        <v>31</v>
      </c>
      <c r="I5" s="21" t="s">
        <v>44</v>
      </c>
      <c r="K5" s="5" t="s">
        <v>30</v>
      </c>
      <c r="L5" s="8" t="s">
        <v>35</v>
      </c>
      <c r="M5" s="5" t="s">
        <v>29</v>
      </c>
      <c r="N5" s="8" t="s">
        <v>35</v>
      </c>
      <c r="O5" s="5" t="s">
        <v>36</v>
      </c>
      <c r="P5" s="8" t="s">
        <v>35</v>
      </c>
    </row>
    <row r="6" spans="2:16" ht="43.2" x14ac:dyDescent="0.3">
      <c r="B6" s="15" t="s">
        <v>0</v>
      </c>
      <c r="C6" s="15" t="s">
        <v>39</v>
      </c>
      <c r="D6" s="15"/>
      <c r="E6" s="23" t="s">
        <v>57</v>
      </c>
      <c r="F6" s="23" t="s">
        <v>58</v>
      </c>
      <c r="G6" s="24"/>
      <c r="H6" s="23" t="s">
        <v>59</v>
      </c>
      <c r="I6" s="24"/>
      <c r="K6" s="7" t="str" cm="1">
        <f t="array" ref="K6:L8">_xlfn.LET(
    _xlpm.rng, tblHotel1345[Starter],
    _xlpm.u, _xlfn.UNIQUE(_xlpm.rng),
    _xlpm.uClean, _xlfn._xlws.FILTER(_xlpm.u, (_xlpm.u &lt;&gt; "No Starter") * (_xlpm.u &lt;&gt; "")),
    _xlfn.HSTACK(_xlpm.uClean, COUNTIF(_xlpm.rng, _xlpm.uClean))
)</f>
        <v>Creamy Garlic Mushrooms (V) - Crusty bread &amp; butter - £7.95</v>
      </c>
      <c r="L6" s="9">
        <v>4</v>
      </c>
      <c r="M6" s="7" t="str" cm="1">
        <f t="array" ref="M6:N16">_xlfn.LET(
    _xlpm.rng, tblHotel1345[Main],
    _xlpm.u, _xlfn.UNIQUE(_xlpm.rng),
    _xlpm.uClean, _xlfn._xlws.FILTER(_xlpm.u, (_xlpm.u &lt;&gt; "No Main") * (_xlpm.u &lt;&gt; "")),
    _xlfn.HSTACK(_xlpm.uClean, COUNTIF(_xlpm.rng, _xlpm.uClean))
)</f>
        <v>Light Bites: Peppered Steak Loaded Fries - With slow cooked steak in a creamy peppercorn sauce - £12.95</v>
      </c>
      <c r="N6" s="9">
        <v>3</v>
      </c>
      <c r="O6" s="7" t="str" cm="1">
        <f t="array" ref="O6:P9">_xlfn.LET(
    _xlpm.rng, tblHotel1345[Dessert],
    _xlpm.u, _xlfn.UNIQUE(_xlpm.rng),
    _xlpm.uClean, _xlfn._xlws.FILTER(_xlpm.u, (_xlpm.u &lt;&gt; "No Dessert") * (_xlpm.u &lt;&gt; "")),
    _xlfn.HSTACK(_xlpm.uClean, COUNTIF(_xlpm.rng, _xlpm.uClean))
)</f>
        <v>Banoffee Belgian Waffle - Belgian Wafle topped with bananas, signature toffee sauce &amp; honeycomb ice cream - £7.95</v>
      </c>
      <c r="P6" s="9">
        <v>1</v>
      </c>
    </row>
    <row r="7" spans="2:16" ht="28.8" x14ac:dyDescent="0.3">
      <c r="B7" s="15" t="s">
        <v>16</v>
      </c>
      <c r="C7" s="15" t="s">
        <v>39</v>
      </c>
      <c r="D7" s="15"/>
      <c r="E7" s="23" t="s">
        <v>10</v>
      </c>
      <c r="F7" s="23" t="s">
        <v>60</v>
      </c>
      <c r="G7" s="24"/>
      <c r="H7" s="23" t="s">
        <v>61</v>
      </c>
      <c r="I7" s="24"/>
      <c r="K7" s="7" t="str">
        <v>Thai Bass Fishcakes - With sweet chilli &amp; coriander salad - £8.95</v>
      </c>
      <c r="L7" s="9">
        <v>3</v>
      </c>
      <c r="M7" s="7" t="str">
        <v>Classic Dishes: Beef Lasagne - Dressed leaves, chips &amp; garlic bread - £14.95</v>
      </c>
      <c r="N7" s="9">
        <v>2</v>
      </c>
      <c r="O7" s="7" t="str">
        <v>Lemon Posset - Creamy Lemon dessert with shortbread biscuit and berries - £7.95</v>
      </c>
      <c r="P7" s="9">
        <v>3</v>
      </c>
    </row>
    <row r="8" spans="2:16" ht="43.2" x14ac:dyDescent="0.3">
      <c r="B8" s="15" t="s">
        <v>27</v>
      </c>
      <c r="C8" s="15" t="s">
        <v>40</v>
      </c>
      <c r="D8" s="15" t="s">
        <v>41</v>
      </c>
      <c r="E8" s="23" t="s">
        <v>10</v>
      </c>
      <c r="F8" s="23" t="s">
        <v>62</v>
      </c>
      <c r="G8" s="23" t="s">
        <v>63</v>
      </c>
      <c r="H8" s="23" t="s">
        <v>3</v>
      </c>
      <c r="I8" s="24"/>
      <c r="K8" s="7" t="str">
        <v>Shredded Duck Bon Bons - Hoisin mayo &amp; sticky dressing - £8.95</v>
      </c>
      <c r="L8" s="9">
        <v>1</v>
      </c>
      <c r="M8" s="7" t="str">
        <v>Special Dishes: Pan Fried Salmon - With tomatoes, garlic, chilli &amp; coriander - £19.95</v>
      </c>
      <c r="N8" s="9">
        <v>2</v>
      </c>
      <c r="O8" s="7" t="str">
        <v>Eton Mess - Crushed meringue, mixed fruit &amp; fresh cream - £7.95</v>
      </c>
      <c r="P8" s="9">
        <v>2</v>
      </c>
    </row>
    <row r="9" spans="2:16" ht="43.2" x14ac:dyDescent="0.3">
      <c r="B9" s="15" t="s">
        <v>4</v>
      </c>
      <c r="C9" s="15" t="s">
        <v>39</v>
      </c>
      <c r="D9" s="15"/>
      <c r="E9" s="23" t="s">
        <v>64</v>
      </c>
      <c r="F9" s="23" t="s">
        <v>62</v>
      </c>
      <c r="G9" s="24"/>
      <c r="H9" s="23" t="s">
        <v>3</v>
      </c>
      <c r="I9" s="24"/>
      <c r="K9" s="7"/>
      <c r="L9" s="9"/>
      <c r="M9" s="7" t="str">
        <v>Classic Dishes: Nanhoron Tikka Curry - Chicken, Served with rice, naan, mango chutney - £15.95</v>
      </c>
      <c r="N9" s="9">
        <v>4</v>
      </c>
      <c r="O9" s="7" t="str">
        <v>Double Chocolate Brownie - Warm Brownie served with signature chocolate sauce &amp; vanilla ice cream - £7.95</v>
      </c>
      <c r="P9" s="9">
        <v>1</v>
      </c>
    </row>
    <row r="10" spans="2:16" ht="28.8" x14ac:dyDescent="0.3">
      <c r="B10" s="15" t="s">
        <v>19</v>
      </c>
      <c r="C10" s="15" t="s">
        <v>39</v>
      </c>
      <c r="D10" s="15"/>
      <c r="E10" s="25" t="s">
        <v>64</v>
      </c>
      <c r="F10" s="25" t="s">
        <v>58</v>
      </c>
      <c r="G10" s="26"/>
      <c r="H10" s="25" t="s">
        <v>3</v>
      </c>
      <c r="I10" s="26"/>
      <c r="K10" s="7"/>
      <c r="L10" s="9"/>
      <c r="M10" s="7" t="str">
        <v>Classic Dishes: Steak &amp; Local Ale Pie - With puff pastry top &amp; served with peas and chips - £15.95</v>
      </c>
      <c r="N10" s="9">
        <v>1</v>
      </c>
      <c r="O10" s="7"/>
      <c r="P10" s="9"/>
    </row>
    <row r="11" spans="2:16" ht="28.8" x14ac:dyDescent="0.3">
      <c r="B11" s="15" t="s">
        <v>11</v>
      </c>
      <c r="C11" s="15" t="s">
        <v>39</v>
      </c>
      <c r="D11" s="15"/>
      <c r="E11" s="25" t="s">
        <v>10</v>
      </c>
      <c r="F11" s="25" t="s">
        <v>65</v>
      </c>
      <c r="G11" s="26"/>
      <c r="H11" s="25" t="s">
        <v>61</v>
      </c>
      <c r="I11" s="26"/>
      <c r="K11" s="7"/>
      <c r="L11" s="9"/>
      <c r="M11" s="7" t="str">
        <v>Classic Dishes: House Burger - Double beef, cheese, pickles, lettuce, burger sauce, coleslaw, hand-cut chips - £14.95</v>
      </c>
      <c r="N11" s="9">
        <v>1</v>
      </c>
      <c r="O11" s="7"/>
      <c r="P11" s="9"/>
    </row>
    <row r="12" spans="2:16" ht="43.2" x14ac:dyDescent="0.3">
      <c r="B12" s="15" t="s">
        <v>13</v>
      </c>
      <c r="C12" s="15" t="s">
        <v>39</v>
      </c>
      <c r="D12" s="15"/>
      <c r="E12" s="25" t="s">
        <v>10</v>
      </c>
      <c r="F12" s="25" t="s">
        <v>66</v>
      </c>
      <c r="G12" s="26"/>
      <c r="H12" s="25" t="s">
        <v>61</v>
      </c>
      <c r="I12" s="26"/>
      <c r="K12" s="7"/>
      <c r="L12" s="9"/>
      <c r="M12" s="7" t="str">
        <v>Special Dishes: Chicken Supreme - stuffed with bacon &amp; cheese, wrapped in parma ham served on a bed of creamed leeks - £18.95</v>
      </c>
      <c r="N12" s="9">
        <v>1</v>
      </c>
      <c r="O12" s="7"/>
      <c r="P12" s="9"/>
    </row>
    <row r="13" spans="2:16" ht="28.8" x14ac:dyDescent="0.3">
      <c r="B13" s="15" t="s">
        <v>7</v>
      </c>
      <c r="C13" s="15" t="s">
        <v>39</v>
      </c>
      <c r="D13" s="15"/>
      <c r="E13" s="25" t="s">
        <v>57</v>
      </c>
      <c r="F13" s="25" t="s">
        <v>67</v>
      </c>
      <c r="G13" s="26"/>
      <c r="H13" s="25" t="s">
        <v>3</v>
      </c>
      <c r="I13" s="26"/>
      <c r="K13" s="7"/>
      <c r="L13" s="9"/>
      <c r="M13" s="7" t="str">
        <v>Special Dishes: Crispy 1/2 Roast Duck - With orange sauce - £21.95</v>
      </c>
      <c r="N13" s="9">
        <v>1</v>
      </c>
      <c r="O13" s="7"/>
      <c r="P13" s="9"/>
    </row>
    <row r="14" spans="2:16" ht="43.2" x14ac:dyDescent="0.3">
      <c r="B14" s="15" t="s">
        <v>21</v>
      </c>
      <c r="C14" s="15" t="s">
        <v>39</v>
      </c>
      <c r="D14" s="15"/>
      <c r="E14" s="25" t="s">
        <v>57</v>
      </c>
      <c r="F14" s="25" t="s">
        <v>68</v>
      </c>
      <c r="G14" s="26"/>
      <c r="H14" s="25" t="s">
        <v>69</v>
      </c>
      <c r="I14" s="26"/>
      <c r="K14" s="7"/>
      <c r="L14" s="9"/>
      <c r="M14" s="7" t="str">
        <v>Classic Dishes: Hunters Chicken Burger - Crispy chicken, bacon, cheese &amp; BBQ sauce with coleslaw, hand cut chips - £14.95</v>
      </c>
      <c r="N14" s="9">
        <v>1</v>
      </c>
      <c r="O14" s="7"/>
      <c r="P14" s="9"/>
    </row>
    <row r="15" spans="2:16" ht="28.8" x14ac:dyDescent="0.3">
      <c r="B15" s="15" t="s">
        <v>42</v>
      </c>
      <c r="C15" s="15" t="s">
        <v>39</v>
      </c>
      <c r="D15" s="15"/>
      <c r="E15" s="25" t="s">
        <v>10</v>
      </c>
      <c r="F15" s="25" t="s">
        <v>60</v>
      </c>
      <c r="G15" s="26"/>
      <c r="H15" s="25" t="s">
        <v>3</v>
      </c>
      <c r="I15" s="26"/>
      <c r="K15" s="7"/>
      <c r="L15" s="9"/>
      <c r="M15" s="7" t="str">
        <v>Special Dishes: Pan Roasted Wild Local Seabass - white wine &amp; mussels sauce - £21.95</v>
      </c>
      <c r="N15" s="9">
        <v>2</v>
      </c>
      <c r="O15" s="7"/>
      <c r="P15" s="9"/>
    </row>
    <row r="16" spans="2:16" ht="28.8" x14ac:dyDescent="0.3">
      <c r="B16" s="15" t="s">
        <v>24</v>
      </c>
      <c r="C16" s="15" t="s">
        <v>39</v>
      </c>
      <c r="D16" s="15"/>
      <c r="E16" s="25" t="s">
        <v>70</v>
      </c>
      <c r="F16" s="25" t="s">
        <v>65</v>
      </c>
      <c r="G16" s="26"/>
      <c r="H16" s="25" t="s">
        <v>3</v>
      </c>
      <c r="I16" s="26"/>
      <c r="K16" s="7"/>
      <c r="L16" s="9"/>
      <c r="M16" s="7" t="str">
        <v>Classic Dishes: Vegetable Lasagne (V) - Dressed leaves, chips &amp; garlic bread - £14.95</v>
      </c>
      <c r="N16" s="9">
        <v>1</v>
      </c>
      <c r="O16" s="7"/>
      <c r="P16" s="9"/>
    </row>
    <row r="17" spans="2:17" ht="26.4" x14ac:dyDescent="0.3">
      <c r="B17" s="15" t="s">
        <v>9</v>
      </c>
      <c r="C17" s="15" t="s">
        <v>39</v>
      </c>
      <c r="D17" s="15"/>
      <c r="E17" s="25" t="s">
        <v>64</v>
      </c>
      <c r="F17" s="25" t="s">
        <v>71</v>
      </c>
      <c r="G17" s="26"/>
      <c r="H17" s="25" t="s">
        <v>3</v>
      </c>
      <c r="I17" s="26"/>
      <c r="K17" s="7"/>
      <c r="L17" s="9"/>
      <c r="M17" s="7"/>
      <c r="N17" s="9"/>
      <c r="O17" s="7"/>
      <c r="P17" s="9"/>
    </row>
    <row r="18" spans="2:17" ht="26.4" x14ac:dyDescent="0.3">
      <c r="B18" s="15" t="s">
        <v>15</v>
      </c>
      <c r="C18" s="15" t="s">
        <v>39</v>
      </c>
      <c r="D18" s="15"/>
      <c r="E18" s="25" t="s">
        <v>57</v>
      </c>
      <c r="F18" s="25" t="s">
        <v>58</v>
      </c>
      <c r="G18" s="26"/>
      <c r="H18" s="25" t="s">
        <v>3</v>
      </c>
      <c r="I18" s="26"/>
      <c r="K18" s="2"/>
      <c r="L18" s="10"/>
      <c r="M18" s="2"/>
      <c r="N18" s="10"/>
      <c r="O18" s="2"/>
      <c r="P18" s="10"/>
    </row>
    <row r="19" spans="2:17" ht="26.4" x14ac:dyDescent="0.3">
      <c r="B19" s="15" t="s">
        <v>103</v>
      </c>
      <c r="C19" s="15" t="s">
        <v>39</v>
      </c>
      <c r="D19" s="15"/>
      <c r="E19" s="25" t="s">
        <v>10</v>
      </c>
      <c r="F19" s="25" t="s">
        <v>111</v>
      </c>
      <c r="G19" s="26"/>
      <c r="H19" s="25" t="s">
        <v>69</v>
      </c>
      <c r="I19" s="26"/>
      <c r="K19" s="2"/>
      <c r="L19" s="10"/>
      <c r="M19" s="2"/>
      <c r="N19" s="10"/>
      <c r="O19" s="2"/>
      <c r="P19" s="10"/>
    </row>
    <row r="20" spans="2:17" ht="26.4" x14ac:dyDescent="0.3">
      <c r="B20" s="15" t="s">
        <v>104</v>
      </c>
      <c r="C20" s="15" t="s">
        <v>39</v>
      </c>
      <c r="D20" s="15"/>
      <c r="E20" s="25" t="s">
        <v>10</v>
      </c>
      <c r="F20" s="25" t="s">
        <v>112</v>
      </c>
      <c r="G20" s="26"/>
      <c r="H20" s="25" t="s">
        <v>3</v>
      </c>
      <c r="I20" s="25" t="s">
        <v>110</v>
      </c>
      <c r="K20" s="2"/>
      <c r="L20" s="10"/>
      <c r="M20" s="2"/>
      <c r="N20" s="10"/>
      <c r="O20" s="2"/>
      <c r="P20" s="10"/>
    </row>
    <row r="21" spans="2:17" ht="26.4" x14ac:dyDescent="0.3">
      <c r="B21" s="15" t="s">
        <v>106</v>
      </c>
      <c r="C21" s="15" t="s">
        <v>39</v>
      </c>
      <c r="D21" s="15"/>
      <c r="E21" s="25" t="s">
        <v>10</v>
      </c>
      <c r="F21" s="25" t="s">
        <v>112</v>
      </c>
      <c r="G21" s="26"/>
      <c r="H21" s="25" t="s">
        <v>3</v>
      </c>
      <c r="I21" s="26"/>
    </row>
    <row r="22" spans="2:17" ht="39.6" x14ac:dyDescent="0.3">
      <c r="B22" s="15" t="s">
        <v>107</v>
      </c>
      <c r="C22" s="15" t="s">
        <v>40</v>
      </c>
      <c r="D22" s="15" t="s">
        <v>108</v>
      </c>
      <c r="E22" s="25" t="s">
        <v>10</v>
      </c>
      <c r="F22" s="25" t="s">
        <v>113</v>
      </c>
      <c r="G22" s="26"/>
      <c r="H22" s="25" t="s">
        <v>114</v>
      </c>
      <c r="I22" s="25" t="s">
        <v>115</v>
      </c>
    </row>
    <row r="23" spans="2:17" ht="28.8" x14ac:dyDescent="0.3">
      <c r="B23" s="15" t="s">
        <v>121</v>
      </c>
      <c r="C23" s="15" t="s">
        <v>39</v>
      </c>
      <c r="D23" s="15"/>
      <c r="E23" s="15" t="s">
        <v>10</v>
      </c>
      <c r="F23" s="15" t="s">
        <v>65</v>
      </c>
      <c r="G23" s="15"/>
      <c r="H23" s="15" t="s">
        <v>3</v>
      </c>
      <c r="I23" s="15"/>
    </row>
    <row r="24" spans="2:17" ht="28.8" x14ac:dyDescent="0.3">
      <c r="B24" s="15" t="s">
        <v>123</v>
      </c>
      <c r="C24" s="15" t="s">
        <v>39</v>
      </c>
      <c r="D24" s="15"/>
      <c r="E24" s="15" t="s">
        <v>10</v>
      </c>
      <c r="F24" s="15" t="s">
        <v>65</v>
      </c>
      <c r="G24" s="15"/>
      <c r="H24" s="15" t="s">
        <v>3</v>
      </c>
      <c r="I24" s="15"/>
    </row>
    <row r="27" spans="2:17" x14ac:dyDescent="0.3">
      <c r="Q27" s="6"/>
    </row>
    <row r="28" spans="2:17" s="6" customFormat="1" x14ac:dyDescent="0.3">
      <c r="K28" s="1"/>
      <c r="L28" s="1"/>
      <c r="M28" s="1"/>
      <c r="N28" s="1"/>
      <c r="O28" s="1"/>
      <c r="P28" s="1"/>
    </row>
    <row r="29" spans="2:17" s="6" customFormat="1" x14ac:dyDescent="0.3">
      <c r="K29" s="1"/>
      <c r="L29" s="1"/>
      <c r="M29" s="1"/>
      <c r="N29" s="1"/>
      <c r="O29" s="1"/>
      <c r="P29" s="1"/>
    </row>
    <row r="30" spans="2:17" s="6" customFormat="1" x14ac:dyDescent="0.3"/>
    <row r="31" spans="2:17" s="6" customFormat="1" x14ac:dyDescent="0.3"/>
    <row r="32" spans="2:17" s="6" customFormat="1" x14ac:dyDescent="0.3"/>
    <row r="33" spans="11:17" s="6" customFormat="1" x14ac:dyDescent="0.3"/>
    <row r="34" spans="11:17" s="6" customFormat="1" x14ac:dyDescent="0.3"/>
    <row r="35" spans="11:17" s="6" customFormat="1" x14ac:dyDescent="0.3"/>
    <row r="36" spans="11:17" s="6" customFormat="1" x14ac:dyDescent="0.3"/>
    <row r="37" spans="11:17" s="6" customFormat="1" x14ac:dyDescent="0.3"/>
    <row r="38" spans="11:17" s="6" customFormat="1" x14ac:dyDescent="0.3"/>
    <row r="39" spans="11:17" s="6" customFormat="1" x14ac:dyDescent="0.3">
      <c r="K39" s="1"/>
      <c r="L39" s="1"/>
      <c r="M39" s="1"/>
      <c r="N39" s="1"/>
      <c r="O39" s="1"/>
      <c r="P39" s="1"/>
    </row>
    <row r="40" spans="11:17" s="6" customFormat="1" x14ac:dyDescent="0.3">
      <c r="K40" s="1"/>
      <c r="L40" s="1"/>
      <c r="M40" s="1"/>
      <c r="N40" s="1"/>
      <c r="O40" s="1"/>
      <c r="P40" s="1"/>
      <c r="Q40" s="1"/>
    </row>
  </sheetData>
  <pageMargins left="0.11811023622047245" right="0.31496062992125984" top="0.35433070866141736" bottom="0.35433070866141736" header="0.31496062992125984" footer="0.31496062992125984"/>
  <pageSetup paperSize="9" scale="5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403F-5DA9-4FF4-BFB7-23DC06F291A3}">
  <sheetPr>
    <pageSetUpPr fitToPage="1"/>
  </sheetPr>
  <dimension ref="B1:Q40"/>
  <sheetViews>
    <sheetView showGridLines="0" tabSelected="1" zoomScale="80" zoomScaleNormal="80" workbookViewId="0">
      <selection activeCell="B1" sqref="B1:I24"/>
    </sheetView>
  </sheetViews>
  <sheetFormatPr defaultColWidth="8.77734375" defaultRowHeight="14.4" x14ac:dyDescent="0.3"/>
  <cols>
    <col min="1" max="1" width="3.5546875" style="1" customWidth="1"/>
    <col min="2" max="2" width="22.21875" style="1" customWidth="1"/>
    <col min="3" max="3" width="10.77734375" style="1" customWidth="1"/>
    <col min="4" max="4" width="23" style="1" customWidth="1"/>
    <col min="5" max="5" width="43.5546875" style="1" customWidth="1"/>
    <col min="6" max="7" width="63.33203125" style="1" customWidth="1"/>
    <col min="8" max="9" width="41.21875" style="1" customWidth="1"/>
    <col min="10" max="10" width="6.5546875" style="1" customWidth="1"/>
    <col min="11" max="11" width="42.6640625" style="1" customWidth="1"/>
    <col min="12" max="12" width="11" style="1" customWidth="1"/>
    <col min="13" max="13" width="50.77734375" style="1" customWidth="1"/>
    <col min="14" max="14" width="8.77734375" style="1"/>
    <col min="15" max="15" width="45.109375" style="1" customWidth="1"/>
    <col min="16" max="16384" width="8.77734375" style="1"/>
  </cols>
  <sheetData>
    <row r="1" spans="2:16" ht="25.8" x14ac:dyDescent="0.5">
      <c r="B1" s="3" t="s">
        <v>100</v>
      </c>
      <c r="C1" s="3"/>
    </row>
    <row r="3" spans="2:16" ht="18" x14ac:dyDescent="0.35">
      <c r="B3" s="4" t="s">
        <v>37</v>
      </c>
      <c r="C3" s="4"/>
      <c r="K3" s="4" t="s">
        <v>38</v>
      </c>
      <c r="L3" s="4"/>
    </row>
    <row r="5" spans="2:16" ht="30.6" customHeight="1" x14ac:dyDescent="0.3">
      <c r="B5" s="20" t="s">
        <v>33</v>
      </c>
      <c r="C5" s="21" t="s">
        <v>43</v>
      </c>
      <c r="D5" s="21" t="s">
        <v>34</v>
      </c>
      <c r="E5" s="21" t="s">
        <v>30</v>
      </c>
      <c r="F5" s="21" t="s">
        <v>29</v>
      </c>
      <c r="G5" s="22" t="s">
        <v>56</v>
      </c>
      <c r="H5" s="22" t="s">
        <v>31</v>
      </c>
      <c r="I5" s="21" t="s">
        <v>44</v>
      </c>
      <c r="K5" s="5" t="s">
        <v>30</v>
      </c>
      <c r="L5" s="8" t="s">
        <v>35</v>
      </c>
      <c r="M5" s="5" t="s">
        <v>29</v>
      </c>
      <c r="N5" s="8" t="s">
        <v>35</v>
      </c>
      <c r="O5" s="5" t="s">
        <v>36</v>
      </c>
      <c r="P5" s="8" t="s">
        <v>35</v>
      </c>
    </row>
    <row r="6" spans="2:16" ht="28.8" x14ac:dyDescent="0.3">
      <c r="B6" s="15" t="s">
        <v>0</v>
      </c>
      <c r="C6" s="15" t="s">
        <v>39</v>
      </c>
      <c r="D6" s="15"/>
      <c r="E6" s="23" t="s">
        <v>72</v>
      </c>
      <c r="F6" s="23" t="s">
        <v>73</v>
      </c>
      <c r="G6" s="24"/>
      <c r="H6" s="23" t="s">
        <v>3</v>
      </c>
      <c r="I6" s="24"/>
      <c r="K6" s="7" t="str" cm="1">
        <f t="array" ref="K6:L12">_xlfn.LET(
    _xlpm.rng, tblHotel13456[Starter],
    _xlpm.u, _xlfn.UNIQUE(_xlpm.rng),
    _xlpm.uClean, _xlfn._xlws.FILTER(_xlpm.u, (_xlpm.u &lt;&gt; "No Starter") * (_xlpm.u &lt;&gt; "")),
    _xlfn.HSTACK(_xlpm.uClean, COUNTIF(_xlpm.rng, _xlpm.uClean))
)</f>
        <v>Potato Skins (V) – With cheese, garlic sauce and crispy onions - £7.95</v>
      </c>
      <c r="L6" s="9">
        <v>2</v>
      </c>
      <c r="M6" s="7" t="str" cm="1">
        <f t="array" ref="M6:N18">_xlfn.LET(
    _xlpm.rng, tblHotel13456[Main],
    _xlpm.u, _xlfn.UNIQUE(_xlpm.rng),
    _xlpm.uClean, _xlfn._xlws.FILTER(_xlpm.u, (_xlpm.u &lt;&gt; "No Main") * (_xlpm.u &lt;&gt; "")),
    _xlfn.HSTACK(_xlpm.uClean, COUNTIF(_xlpm.rng, _xlpm.uClean))
)</f>
        <v>Steak &amp; Ale Pie - With chips and vegetables - £18.95</v>
      </c>
      <c r="N6" s="9">
        <v>1</v>
      </c>
      <c r="O6" s="7" t="str" cm="1">
        <f t="array" ref="O6:P11">_xlfn.LET(
    _xlpm.rng, tblHotel13456[Dessert],
    _xlpm.u, _xlfn.UNIQUE(_xlpm.rng),
    _xlpm.uClean, _xlfn._xlws.FILTER(_xlpm.u, (_xlpm.u &lt;&gt; "No Dessert") * (_xlpm.u &lt;&gt; "")),
    _xlfn.HSTACK(_xlpm.uClean, COUNTIF(_xlpm.rng, _xlpm.uClean))
)</f>
        <v>Tiramisu - Coffee, sponge and cream dessert - £6.95</v>
      </c>
      <c r="P6" s="9">
        <v>3</v>
      </c>
    </row>
    <row r="7" spans="2:16" ht="28.8" x14ac:dyDescent="0.3">
      <c r="B7" s="15" t="s">
        <v>16</v>
      </c>
      <c r="C7" s="15" t="s">
        <v>39</v>
      </c>
      <c r="D7" s="15"/>
      <c r="E7" s="23" t="s">
        <v>10</v>
      </c>
      <c r="F7" s="23" t="s">
        <v>74</v>
      </c>
      <c r="G7" s="24"/>
      <c r="H7" s="23" t="s">
        <v>75</v>
      </c>
      <c r="I7" s="24"/>
      <c r="K7" s="7" t="str">
        <v>Soup of the Day (V) – With bread and butter - £6.95</v>
      </c>
      <c r="L7" s="9">
        <v>1</v>
      </c>
      <c r="M7" s="7" t="str">
        <v>Chicken Supreme with Chasseur Sauce - With mashed potato and vegetables - £18.95</v>
      </c>
      <c r="N7" s="9">
        <v>3</v>
      </c>
      <c r="O7" s="7" t="str">
        <v>Coconut &amp; Vanilla Panna Cotta - With pineapple salsa - £7.95</v>
      </c>
      <c r="P7" s="9">
        <v>1</v>
      </c>
    </row>
    <row r="8" spans="2:16" ht="28.8" x14ac:dyDescent="0.3">
      <c r="B8" s="15" t="s">
        <v>27</v>
      </c>
      <c r="C8" s="15" t="s">
        <v>40</v>
      </c>
      <c r="D8" s="15" t="s">
        <v>41</v>
      </c>
      <c r="E8" s="23" t="s">
        <v>76</v>
      </c>
      <c r="F8" s="23" t="s">
        <v>77</v>
      </c>
      <c r="G8" s="23" t="s">
        <v>78</v>
      </c>
      <c r="H8" s="23" t="s">
        <v>3</v>
      </c>
      <c r="I8" s="23" t="s">
        <v>79</v>
      </c>
      <c r="K8" s="7" t="str">
        <v>Pheasant &amp; Mushroom Pate - With toasted sourdough - £8.95</v>
      </c>
      <c r="L8" s="9">
        <v>2</v>
      </c>
      <c r="M8" s="7" t="str">
        <v>Thai Green Vegetable Curry (V) - With steamed rice and flatbread - £15.95</v>
      </c>
      <c r="N8" s="9">
        <v>1</v>
      </c>
      <c r="O8" s="7" t="str">
        <v>Rhubarb &amp; Stem Ginger Crumble (V) - With custard - £7.95</v>
      </c>
      <c r="P8" s="9">
        <v>2</v>
      </c>
    </row>
    <row r="9" spans="2:16" ht="28.8" x14ac:dyDescent="0.3">
      <c r="B9" s="15" t="s">
        <v>4</v>
      </c>
      <c r="C9" s="15" t="s">
        <v>39</v>
      </c>
      <c r="D9" s="15"/>
      <c r="E9" s="23" t="s">
        <v>80</v>
      </c>
      <c r="F9" s="23" t="s">
        <v>81</v>
      </c>
      <c r="G9" s="23" t="s">
        <v>82</v>
      </c>
      <c r="H9" s="23" t="s">
        <v>83</v>
      </c>
      <c r="I9" s="24"/>
      <c r="K9" s="7" t="str">
        <v>Chicken Caesar Croquettes - With salad and Parmesan - £7.95</v>
      </c>
      <c r="L9" s="9">
        <v>1</v>
      </c>
      <c r="M9" s="7" t="str">
        <v>Cod &amp; Lemon Fishcakes - With pea and bacon salad - £18.95</v>
      </c>
      <c r="N9" s="9">
        <v>2</v>
      </c>
      <c r="O9" s="7" t="str">
        <v>Rhubarb &amp; Stem Ginger Crumble (V) - With vanilla ice cream - £7.95</v>
      </c>
      <c r="P9" s="9">
        <v>6</v>
      </c>
    </row>
    <row r="10" spans="2:16" ht="28.8" x14ac:dyDescent="0.3">
      <c r="B10" s="15" t="s">
        <v>19</v>
      </c>
      <c r="C10" s="15" t="s">
        <v>39</v>
      </c>
      <c r="D10" s="15"/>
      <c r="E10" s="25" t="s">
        <v>84</v>
      </c>
      <c r="F10" s="25" t="s">
        <v>85</v>
      </c>
      <c r="G10" s="26"/>
      <c r="H10" s="25" t="s">
        <v>86</v>
      </c>
      <c r="I10" s="26"/>
      <c r="K10" s="7" t="str">
        <v>Spicy Meatballs – With a roast tomato sauce, Parmesan and rocket - £8.95</v>
      </c>
      <c r="L10" s="9">
        <v>2</v>
      </c>
      <c r="M10" s="7" t="str">
        <v>Lamb Hot Pot Pie &amp; Mint Gravy - With mashed potato and vegetables - £18.95</v>
      </c>
      <c r="N10" s="9">
        <v>1</v>
      </c>
      <c r="O10" s="7" t="str">
        <v>Penderyn Whisky &amp; Chocolate Basque Cheesecake - With Chantilly cream - £7.95</v>
      </c>
      <c r="P10" s="9">
        <v>1</v>
      </c>
    </row>
    <row r="11" spans="2:16" ht="28.8" x14ac:dyDescent="0.3">
      <c r="B11" s="15" t="s">
        <v>11</v>
      </c>
      <c r="C11" s="15" t="s">
        <v>39</v>
      </c>
      <c r="D11" s="15"/>
      <c r="E11" s="25" t="s">
        <v>10</v>
      </c>
      <c r="F11" s="25" t="s">
        <v>87</v>
      </c>
      <c r="G11" s="26"/>
      <c r="H11" s="25" t="s">
        <v>88</v>
      </c>
      <c r="I11" s="26"/>
      <c r="K11" s="7" t="str">
        <v>Cod &amp; Lemon Fishcake - With parsley sauce - £8.95</v>
      </c>
      <c r="L11" s="9">
        <v>1</v>
      </c>
      <c r="M11" s="7" t="str">
        <v>Lamb Hot Pot Pie &amp; Mint Gravy - With chips and vegetables - £18.95</v>
      </c>
      <c r="N11" s="9">
        <v>2</v>
      </c>
      <c r="O11" s="7" t="str">
        <v>Cheese Board - With biscuits, fruit and chutney - £12.95</v>
      </c>
      <c r="P11" s="9">
        <v>1</v>
      </c>
    </row>
    <row r="12" spans="2:16" ht="28.8" x14ac:dyDescent="0.3">
      <c r="B12" s="15" t="s">
        <v>13</v>
      </c>
      <c r="C12" s="15" t="s">
        <v>39</v>
      </c>
      <c r="D12" s="15"/>
      <c r="E12" s="25" t="s">
        <v>10</v>
      </c>
      <c r="F12" s="25" t="s">
        <v>81</v>
      </c>
      <c r="G12" s="26"/>
      <c r="H12" s="25" t="s">
        <v>88</v>
      </c>
      <c r="I12" s="26"/>
      <c r="K12" s="7" t="str">
        <v>Beetroot Hummus (VG) - With warm flatbread - £7.95</v>
      </c>
      <c r="L12" s="9">
        <v>1</v>
      </c>
      <c r="M12" s="7" t="str">
        <v>Steak &amp; Ale Pie - With mashed potato and vegetables - £18.95</v>
      </c>
      <c r="N12" s="9">
        <v>1</v>
      </c>
      <c r="O12" s="7"/>
      <c r="P12" s="9"/>
    </row>
    <row r="13" spans="2:16" ht="26.4" x14ac:dyDescent="0.3">
      <c r="B13" s="15" t="s">
        <v>7</v>
      </c>
      <c r="C13" s="15" t="s">
        <v>39</v>
      </c>
      <c r="D13" s="15"/>
      <c r="E13" s="25" t="s">
        <v>80</v>
      </c>
      <c r="F13" s="25" t="s">
        <v>89</v>
      </c>
      <c r="G13" s="25" t="s">
        <v>90</v>
      </c>
      <c r="H13" s="25" t="s">
        <v>3</v>
      </c>
      <c r="I13" s="26"/>
      <c r="K13" s="7"/>
      <c r="L13" s="9"/>
      <c r="M13" s="7" t="str">
        <v>Scampi &amp; Chips - With mushy peas and tartare sauce - £17.95</v>
      </c>
      <c r="N13" s="9">
        <v>2</v>
      </c>
      <c r="O13" s="7"/>
      <c r="P13" s="9"/>
    </row>
    <row r="14" spans="2:16" ht="28.8" x14ac:dyDescent="0.3">
      <c r="B14" s="15" t="s">
        <v>21</v>
      </c>
      <c r="C14" s="15" t="s">
        <v>39</v>
      </c>
      <c r="D14" s="15"/>
      <c r="E14" s="25" t="s">
        <v>72</v>
      </c>
      <c r="F14" s="25" t="s">
        <v>74</v>
      </c>
      <c r="G14" s="25" t="s">
        <v>91</v>
      </c>
      <c r="H14" s="25" t="s">
        <v>86</v>
      </c>
      <c r="I14" s="26"/>
      <c r="K14" s="7"/>
      <c r="L14" s="9"/>
      <c r="M14" s="7" t="str">
        <v>The Bull’s Buffalo Chicken Burger - With smoked cheese, ranch slaw and fries - £17.95</v>
      </c>
      <c r="N14" s="9">
        <v>1</v>
      </c>
      <c r="O14" s="7"/>
      <c r="P14" s="9"/>
    </row>
    <row r="15" spans="2:16" ht="28.8" x14ac:dyDescent="0.3">
      <c r="B15" s="15" t="s">
        <v>42</v>
      </c>
      <c r="C15" s="15" t="s">
        <v>39</v>
      </c>
      <c r="D15" s="15"/>
      <c r="E15" s="25" t="s">
        <v>10</v>
      </c>
      <c r="F15" s="25" t="s">
        <v>92</v>
      </c>
      <c r="G15" s="26"/>
      <c r="H15" s="25" t="s">
        <v>75</v>
      </c>
      <c r="I15" s="26"/>
      <c r="K15" s="7"/>
      <c r="L15" s="9"/>
      <c r="M15" s="7" t="str">
        <v>Oven-Roasted Pheasant &amp; Black Pudding Bon Bon - With potato fondant, vegetables and whisky sauce - £18.95</v>
      </c>
      <c r="N15" s="9">
        <v>1</v>
      </c>
      <c r="O15" s="7"/>
      <c r="P15" s="9"/>
    </row>
    <row r="16" spans="2:16" ht="28.8" x14ac:dyDescent="0.3">
      <c r="B16" s="15" t="s">
        <v>24</v>
      </c>
      <c r="C16" s="15" t="s">
        <v>39</v>
      </c>
      <c r="D16" s="15"/>
      <c r="E16" s="25" t="s">
        <v>93</v>
      </c>
      <c r="F16" s="25" t="s">
        <v>94</v>
      </c>
      <c r="G16" s="25" t="s">
        <v>95</v>
      </c>
      <c r="H16" s="25" t="s">
        <v>96</v>
      </c>
      <c r="I16" s="26"/>
      <c r="K16" s="7"/>
      <c r="L16" s="9"/>
      <c r="M16" s="7" t="str">
        <v>Cumberland Sausage &amp; Mash - With vegetables and gravy - £17.95</v>
      </c>
      <c r="N16" s="9">
        <v>2</v>
      </c>
      <c r="O16" s="7"/>
      <c r="P16" s="9"/>
    </row>
    <row r="17" spans="2:17" ht="28.8" x14ac:dyDescent="0.3">
      <c r="B17" s="15" t="s">
        <v>9</v>
      </c>
      <c r="C17" s="15" t="s">
        <v>39</v>
      </c>
      <c r="D17" s="15"/>
      <c r="E17" s="25" t="s">
        <v>10</v>
      </c>
      <c r="F17" s="25" t="s">
        <v>97</v>
      </c>
      <c r="G17" s="25" t="s">
        <v>98</v>
      </c>
      <c r="H17" s="25" t="s">
        <v>3</v>
      </c>
      <c r="I17" s="26"/>
      <c r="K17" s="7"/>
      <c r="L17" s="9"/>
      <c r="M17" s="7" t="str">
        <v>Leek, Mushroom &amp; Lentil Shepherds Pie (VG) - With mashed potato and vegetables - £16.95</v>
      </c>
      <c r="N17" s="9">
        <v>1</v>
      </c>
      <c r="O17" s="7"/>
      <c r="P17" s="9"/>
    </row>
    <row r="18" spans="2:17" ht="28.8" x14ac:dyDescent="0.3">
      <c r="B18" s="15" t="s">
        <v>15</v>
      </c>
      <c r="C18" s="15" t="s">
        <v>39</v>
      </c>
      <c r="D18" s="15"/>
      <c r="E18" s="25" t="s">
        <v>99</v>
      </c>
      <c r="F18" s="25" t="s">
        <v>87</v>
      </c>
      <c r="G18" s="26"/>
      <c r="H18" s="25" t="s">
        <v>75</v>
      </c>
      <c r="I18" s="26"/>
      <c r="K18" s="2"/>
      <c r="L18" s="10"/>
      <c r="M18" s="2" t="str">
        <v>Classic Cheese &amp; Bacon Burger - With burger sauce, salad, coleslaw and fries - £17.95</v>
      </c>
      <c r="N18" s="10">
        <v>1</v>
      </c>
      <c r="O18" s="2"/>
      <c r="P18" s="10"/>
    </row>
    <row r="19" spans="2:17" ht="26.4" x14ac:dyDescent="0.3">
      <c r="B19" s="15" t="s">
        <v>103</v>
      </c>
      <c r="C19" s="15" t="s">
        <v>39</v>
      </c>
      <c r="D19" s="15"/>
      <c r="E19" s="25" t="s">
        <v>10</v>
      </c>
      <c r="F19" s="25" t="s">
        <v>116</v>
      </c>
      <c r="G19" s="26"/>
      <c r="H19" s="25" t="s">
        <v>117</v>
      </c>
      <c r="I19" s="26"/>
      <c r="K19" s="2"/>
      <c r="L19" s="10"/>
      <c r="M19" s="2"/>
      <c r="N19" s="10"/>
      <c r="O19" s="2"/>
      <c r="P19" s="10"/>
    </row>
    <row r="20" spans="2:17" ht="26.4" x14ac:dyDescent="0.3">
      <c r="B20" s="15" t="s">
        <v>104</v>
      </c>
      <c r="C20" s="15" t="s">
        <v>39</v>
      </c>
      <c r="D20" s="15"/>
      <c r="E20" s="25" t="s">
        <v>10</v>
      </c>
      <c r="F20" s="25" t="s">
        <v>74</v>
      </c>
      <c r="G20" s="26"/>
      <c r="H20" s="25" t="s">
        <v>88</v>
      </c>
      <c r="I20" s="25" t="s">
        <v>110</v>
      </c>
      <c r="K20" s="2"/>
      <c r="L20" s="10"/>
      <c r="M20" s="2"/>
      <c r="N20" s="10"/>
      <c r="O20" s="2"/>
      <c r="P20" s="10"/>
    </row>
    <row r="21" spans="2:17" ht="26.4" x14ac:dyDescent="0.3">
      <c r="B21" s="15" t="s">
        <v>106</v>
      </c>
      <c r="C21" s="15" t="s">
        <v>39</v>
      </c>
      <c r="D21" s="15"/>
      <c r="E21" s="25" t="s">
        <v>118</v>
      </c>
      <c r="F21" s="25" t="s">
        <v>92</v>
      </c>
      <c r="G21" s="26"/>
      <c r="H21" s="25" t="s">
        <v>88</v>
      </c>
      <c r="I21" s="25" t="s">
        <v>119</v>
      </c>
    </row>
    <row r="22" spans="2:17" ht="26.4" x14ac:dyDescent="0.3">
      <c r="B22" s="15" t="s">
        <v>107</v>
      </c>
      <c r="C22" s="15" t="s">
        <v>40</v>
      </c>
      <c r="D22" s="15" t="s">
        <v>108</v>
      </c>
      <c r="E22" s="25" t="s">
        <v>10</v>
      </c>
      <c r="F22" s="25" t="s">
        <v>120</v>
      </c>
      <c r="G22" s="26"/>
      <c r="H22" s="25" t="s">
        <v>88</v>
      </c>
      <c r="I22" s="26"/>
    </row>
    <row r="23" spans="2:17" ht="28.8" x14ac:dyDescent="0.3">
      <c r="B23" s="15" t="s">
        <v>121</v>
      </c>
      <c r="C23" s="15" t="s">
        <v>39</v>
      </c>
      <c r="D23" s="15"/>
      <c r="E23" s="15" t="s">
        <v>10</v>
      </c>
      <c r="F23" s="15" t="s">
        <v>116</v>
      </c>
      <c r="G23" s="15"/>
      <c r="H23" s="15" t="s">
        <v>88</v>
      </c>
      <c r="I23" s="27"/>
    </row>
    <row r="24" spans="2:17" ht="28.8" x14ac:dyDescent="0.3">
      <c r="B24" s="15" t="s">
        <v>123</v>
      </c>
      <c r="C24" s="15" t="s">
        <v>39</v>
      </c>
      <c r="D24" s="15"/>
      <c r="E24" s="15" t="s">
        <v>93</v>
      </c>
      <c r="F24" s="15" t="s">
        <v>124</v>
      </c>
      <c r="G24" s="15"/>
      <c r="H24" s="15" t="s">
        <v>3</v>
      </c>
      <c r="I24" s="27"/>
    </row>
    <row r="27" spans="2:17" x14ac:dyDescent="0.3">
      <c r="Q27" s="6"/>
    </row>
    <row r="28" spans="2:17" s="6" customFormat="1" x14ac:dyDescent="0.3">
      <c r="K28" s="1"/>
      <c r="L28" s="1"/>
      <c r="M28" s="1"/>
      <c r="N28" s="1"/>
      <c r="O28" s="1"/>
      <c r="P28" s="1"/>
    </row>
    <row r="29" spans="2:17" s="6" customFormat="1" x14ac:dyDescent="0.3">
      <c r="K29" s="1"/>
      <c r="L29" s="1"/>
      <c r="M29" s="1"/>
      <c r="N29" s="1"/>
      <c r="O29" s="1"/>
      <c r="P29" s="1"/>
    </row>
    <row r="30" spans="2:17" s="6" customFormat="1" x14ac:dyDescent="0.3"/>
    <row r="31" spans="2:17" s="6" customFormat="1" x14ac:dyDescent="0.3"/>
    <row r="32" spans="2:17" s="6" customFormat="1" x14ac:dyDescent="0.3"/>
    <row r="33" spans="11:17" s="6" customFormat="1" x14ac:dyDescent="0.3"/>
    <row r="34" spans="11:17" s="6" customFormat="1" x14ac:dyDescent="0.3"/>
    <row r="35" spans="11:17" s="6" customFormat="1" x14ac:dyDescent="0.3"/>
    <row r="36" spans="11:17" s="6" customFormat="1" x14ac:dyDescent="0.3"/>
    <row r="37" spans="11:17" s="6" customFormat="1" x14ac:dyDescent="0.3"/>
    <row r="38" spans="11:17" s="6" customFormat="1" x14ac:dyDescent="0.3"/>
    <row r="39" spans="11:17" s="6" customFormat="1" x14ac:dyDescent="0.3">
      <c r="K39" s="1"/>
      <c r="L39" s="1"/>
      <c r="M39" s="1"/>
      <c r="N39" s="1"/>
      <c r="O39" s="1"/>
      <c r="P39" s="1"/>
    </row>
    <row r="40" spans="11:17" s="6" customFormat="1" x14ac:dyDescent="0.3">
      <c r="K40" s="1"/>
      <c r="L40" s="1"/>
      <c r="M40" s="1"/>
      <c r="N40" s="1"/>
      <c r="O40" s="1"/>
      <c r="P40" s="1"/>
      <c r="Q40" s="1"/>
    </row>
  </sheetData>
  <pageMargins left="0.11811023622047245" right="0.11811023622047245" top="0.35433070866141736" bottom="0.35433070866141736" header="0.31496062992125984" footer="0.31496062992125984"/>
  <pageSetup paperSize="9" scale="47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Hotel 1 - Menu Info</vt:lpstr>
      <vt:lpstr>Hotel 2 - Menu Info</vt:lpstr>
      <vt:lpstr>Hotel 3 - Menu Info</vt:lpstr>
      <vt:lpstr>Hotel 4 - Menu Info</vt:lpstr>
      <vt:lpstr>'Hotel 1 - Menu Info'!Print_Area</vt:lpstr>
      <vt:lpstr>'Hotel 2 - Menu Info'!Print_Area</vt:lpstr>
      <vt:lpstr>'Hotel 3 - Menu Info'!Print_Area</vt:lpstr>
      <vt:lpstr>'Hotel 4 - Menu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Olney, David</dc:creator>
  <cp:lastModifiedBy>David Olney</cp:lastModifiedBy>
  <cp:lastPrinted>2026-06-02T13:55:01Z</cp:lastPrinted>
  <dcterms:created xsi:type="dcterms:W3CDTF">2026-05-12T07:38:50Z</dcterms:created>
  <dcterms:modified xsi:type="dcterms:W3CDTF">2026-06-02T13:55:34Z</dcterms:modified>
</cp:coreProperties>
</file>